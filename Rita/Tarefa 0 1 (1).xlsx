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da\Documents\IEFP\Matematica\"/>
    </mc:Choice>
  </mc:AlternateContent>
  <xr:revisionPtr revIDLastSave="0" documentId="13_ncr:1_{D6086BBC-973D-45F1-81C6-0456308E1A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hes1" sheetId="4" r:id="rId1"/>
    <sheet name="Planilha1" sheetId="2" r:id="rId2"/>
    <sheet name="Planilha2" sheetId="3" r:id="rId3"/>
    <sheet name="Planilha3" sheetId="5" r:id="rId4"/>
    <sheet name="Planilha5" sheetId="7" r:id="rId5"/>
    <sheet name="Página1" sheetId="1" r:id="rId6"/>
  </sheets>
  <calcPr calcId="191029"/>
  <pivotCaches>
    <pivotCache cacheId="0" r:id="rId7"/>
    <pivotCache cacheId="1" r:id="rId8"/>
    <pivotCache cacheId="2" r:id="rId9"/>
  </pivotCaches>
</workbook>
</file>

<file path=xl/calcChain.xml><?xml version="1.0" encoding="utf-8"?>
<calcChain xmlns="http://schemas.openxmlformats.org/spreadsheetml/2006/main">
  <c r="K47" i="4" l="1"/>
  <c r="K27" i="4"/>
  <c r="B235" i="4"/>
  <c r="M8" i="4"/>
  <c r="M6" i="4"/>
  <c r="M11" i="4"/>
  <c r="M10" i="4"/>
  <c r="M16" i="4"/>
  <c r="M15" i="4"/>
  <c r="M12" i="4"/>
  <c r="M18" i="4"/>
  <c r="M17" i="4"/>
  <c r="M14" i="4"/>
  <c r="M4" i="4"/>
  <c r="M13" i="4"/>
  <c r="M9" i="4"/>
  <c r="M7" i="4"/>
  <c r="M5" i="4"/>
  <c r="F198" i="4"/>
  <c r="F31" i="4"/>
  <c r="F133" i="4"/>
  <c r="F159" i="4"/>
  <c r="F183" i="4"/>
  <c r="F176" i="4"/>
  <c r="F150" i="4"/>
  <c r="F153" i="4"/>
  <c r="F50" i="4"/>
  <c r="F81" i="4"/>
  <c r="F39" i="4"/>
  <c r="F113" i="4"/>
  <c r="F106" i="4"/>
  <c r="F67" i="4"/>
  <c r="F232" i="4"/>
  <c r="F48" i="4"/>
  <c r="F76" i="4"/>
  <c r="F144" i="4"/>
  <c r="F7" i="4"/>
  <c r="F184" i="4"/>
  <c r="F94" i="4"/>
  <c r="F85" i="4"/>
  <c r="F196" i="4"/>
  <c r="F127" i="4"/>
  <c r="F140" i="4"/>
  <c r="F53" i="4"/>
  <c r="F216" i="4"/>
  <c r="F200" i="4"/>
  <c r="F92" i="4"/>
  <c r="F82" i="4"/>
  <c r="F21" i="4"/>
  <c r="F155" i="4"/>
  <c r="F79" i="4"/>
  <c r="F66" i="4"/>
  <c r="F58" i="4"/>
  <c r="F149" i="4"/>
  <c r="F86" i="4"/>
  <c r="F131" i="4"/>
  <c r="F38" i="4"/>
  <c r="F78" i="4"/>
  <c r="F88" i="4"/>
  <c r="F15" i="4"/>
  <c r="F182" i="4"/>
  <c r="F52" i="4"/>
  <c r="F171" i="4"/>
  <c r="F105" i="4"/>
  <c r="F125" i="4"/>
  <c r="F132" i="4"/>
  <c r="F45" i="4"/>
  <c r="F123" i="4"/>
  <c r="F62" i="4"/>
  <c r="F65" i="4"/>
  <c r="F115" i="4"/>
  <c r="F23" i="4"/>
  <c r="F189" i="4"/>
  <c r="F197" i="4"/>
  <c r="F202" i="4"/>
  <c r="F136" i="4"/>
  <c r="F44" i="4"/>
  <c r="F5" i="4"/>
  <c r="F185" i="4"/>
  <c r="F211" i="4"/>
  <c r="F116" i="4"/>
  <c r="F46" i="4"/>
  <c r="F161" i="4"/>
  <c r="F16" i="4"/>
  <c r="F71" i="4"/>
  <c r="F164" i="4"/>
  <c r="F97" i="4"/>
  <c r="F120" i="4"/>
  <c r="F181" i="4"/>
  <c r="F173" i="4"/>
  <c r="F191" i="4"/>
  <c r="F230" i="4"/>
  <c r="F61" i="4"/>
  <c r="F59" i="4"/>
  <c r="F179" i="4"/>
  <c r="F214" i="4"/>
  <c r="F47" i="4"/>
  <c r="F199" i="4"/>
  <c r="F141" i="4"/>
  <c r="F69" i="4"/>
  <c r="F177" i="4"/>
  <c r="F17" i="4"/>
  <c r="F99" i="4"/>
  <c r="F190" i="4"/>
  <c r="F63" i="4"/>
  <c r="F102" i="4"/>
  <c r="F163" i="4"/>
  <c r="F114" i="4"/>
  <c r="F156" i="4"/>
  <c r="F70" i="4"/>
  <c r="F130" i="4"/>
  <c r="F27" i="4"/>
  <c r="F55" i="4"/>
  <c r="F218" i="4"/>
  <c r="F147" i="4"/>
  <c r="F64" i="4"/>
  <c r="F19" i="4"/>
  <c r="F139" i="4"/>
  <c r="F75" i="4"/>
  <c r="F80" i="4"/>
  <c r="F154" i="4"/>
  <c r="F9" i="4"/>
  <c r="F90" i="4"/>
  <c r="F77" i="4"/>
  <c r="F103" i="4"/>
  <c r="F35" i="4"/>
  <c r="F124" i="4"/>
  <c r="F192" i="4"/>
  <c r="F6" i="4"/>
  <c r="F30" i="4"/>
  <c r="F219" i="4"/>
  <c r="F119" i="4"/>
  <c r="F28" i="4"/>
  <c r="F212" i="4"/>
  <c r="F226" i="4"/>
  <c r="F148" i="4"/>
  <c r="F137" i="4"/>
  <c r="F168" i="4"/>
  <c r="F24" i="4"/>
  <c r="F225" i="4"/>
  <c r="F118" i="4"/>
  <c r="F215" i="4"/>
  <c r="F193" i="4"/>
  <c r="F87" i="4"/>
  <c r="F68" i="4"/>
  <c r="F111" i="4"/>
  <c r="F108" i="4"/>
  <c r="F41" i="4"/>
  <c r="F126" i="4"/>
  <c r="F107" i="4"/>
  <c r="F175" i="4"/>
  <c r="F228" i="4"/>
  <c r="F29" i="4"/>
  <c r="F157" i="4"/>
  <c r="F26" i="4"/>
  <c r="F222" i="4"/>
  <c r="F49" i="4"/>
  <c r="F33" i="4"/>
  <c r="F56" i="4"/>
  <c r="F60" i="4"/>
  <c r="F74" i="4"/>
  <c r="F220" i="4"/>
  <c r="F208" i="4"/>
  <c r="F186" i="4"/>
  <c r="F170" i="4"/>
  <c r="F91" i="4"/>
  <c r="F165" i="4"/>
  <c r="F223" i="4"/>
  <c r="F121" i="4"/>
  <c r="F117" i="4"/>
  <c r="F135" i="4"/>
  <c r="F210" i="4"/>
  <c r="F20" i="4"/>
  <c r="F10" i="4"/>
  <c r="F217" i="4"/>
  <c r="F204" i="4"/>
  <c r="F32" i="4"/>
  <c r="F8" i="4"/>
  <c r="F213" i="4"/>
  <c r="F12" i="4"/>
  <c r="F98" i="4"/>
  <c r="F84" i="4"/>
  <c r="F57" i="4"/>
  <c r="F180" i="4"/>
  <c r="F40" i="4"/>
  <c r="F229" i="4"/>
  <c r="F25" i="4"/>
  <c r="F110" i="4"/>
  <c r="F93" i="4"/>
  <c r="F205" i="4"/>
  <c r="F13" i="4"/>
  <c r="F112" i="4"/>
  <c r="F142" i="4"/>
  <c r="F233" i="4"/>
  <c r="F152" i="4"/>
  <c r="F89" i="4"/>
  <c r="F18" i="4"/>
  <c r="F194" i="4"/>
  <c r="F54" i="4"/>
  <c r="F37" i="4"/>
  <c r="F4" i="4"/>
  <c r="F187" i="4"/>
  <c r="F162" i="4"/>
  <c r="F146" i="4"/>
  <c r="F129" i="4"/>
  <c r="F96" i="4"/>
  <c r="F207" i="4"/>
  <c r="F11" i="4"/>
  <c r="F95" i="4"/>
  <c r="F43" i="4"/>
  <c r="F134" i="4"/>
  <c r="F72" i="4"/>
  <c r="F224" i="4"/>
  <c r="F14" i="4"/>
  <c r="F201" i="4"/>
  <c r="F101" i="4"/>
  <c r="F104" i="4"/>
  <c r="F169" i="4"/>
  <c r="F172" i="4"/>
  <c r="F167" i="4"/>
  <c r="F227" i="4"/>
  <c r="F209" i="4"/>
  <c r="F174" i="4"/>
  <c r="F22" i="4"/>
  <c r="F143" i="4"/>
  <c r="F195" i="4"/>
  <c r="F73" i="4"/>
  <c r="F109" i="4"/>
  <c r="F51" i="4"/>
  <c r="F34" i="4"/>
  <c r="F206" i="4"/>
  <c r="F188" i="4"/>
  <c r="F42" i="4"/>
  <c r="F203" i="4"/>
  <c r="F100" i="4"/>
  <c r="F36" i="4"/>
  <c r="F83" i="4"/>
  <c r="F138" i="4"/>
  <c r="F178" i="4"/>
  <c r="F231" i="4"/>
  <c r="F158" i="4"/>
  <c r="F128" i="4"/>
  <c r="F166" i="4"/>
  <c r="F145" i="4"/>
  <c r="F221" i="4"/>
  <c r="F160" i="4"/>
  <c r="F151" i="4"/>
  <c r="F122" i="4"/>
  <c r="B238" i="4"/>
  <c r="C237" i="4"/>
  <c r="B237" i="4"/>
  <c r="B23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Foda</author>
  </authors>
  <commentList>
    <comment ref="H229" authorId="0" shapeId="0" xr:uid="{3B72360D-DCB2-4CC7-963D-AB2EA3A28C84}">
      <text>
        <r>
          <rPr>
            <b/>
            <sz val="9"/>
            <color indexed="81"/>
            <rFont val="Segoe UI"/>
            <charset val="1"/>
          </rPr>
          <t>Foda: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<sst xmlns="http://schemas.openxmlformats.org/spreadsheetml/2006/main" count="2065" uniqueCount="524">
  <si>
    <t>Nome</t>
  </si>
  <si>
    <t>Circulo eleitoral</t>
  </si>
  <si>
    <t>Grupo parlamentar/Partido</t>
  </si>
  <si>
    <t>Genero</t>
  </si>
  <si>
    <t>Idade</t>
  </si>
  <si>
    <t>Adriana Rodrigues</t>
  </si>
  <si>
    <t>Aveiro</t>
  </si>
  <si>
    <t>PSD</t>
  </si>
  <si>
    <t>F</t>
  </si>
  <si>
    <r>
      <rPr>
        <u/>
        <sz val="10"/>
        <color rgb="FF1155CC"/>
        <rFont val="Arial"/>
      </rPr>
      <t>Aida Carvalho</t>
    </r>
  </si>
  <si>
    <t>Guarda</t>
  </si>
  <si>
    <t>PS</t>
  </si>
  <si>
    <r>
      <rPr>
        <u/>
        <sz val="10"/>
        <color rgb="FF1155CC"/>
        <rFont val="Arial"/>
      </rPr>
      <t>Alberto Fonseca</t>
    </r>
  </si>
  <si>
    <t>Porto</t>
  </si>
  <si>
    <t>M</t>
  </si>
  <si>
    <r>
      <rPr>
        <u/>
        <sz val="10"/>
        <color rgb="FF1155CC"/>
        <rFont val="Arial"/>
      </rPr>
      <t>Alberto Machado</t>
    </r>
  </si>
  <si>
    <r>
      <rPr>
        <u/>
        <sz val="10"/>
        <color rgb="FF1155CC"/>
        <rFont val="Arial"/>
      </rPr>
      <t>Alexandre Poço</t>
    </r>
  </si>
  <si>
    <t>Lisboa</t>
  </si>
  <si>
    <r>
      <rPr>
        <u/>
        <sz val="10"/>
        <color rgb="FF1155CC"/>
        <rFont val="Arial"/>
      </rPr>
      <t>Alfredo Maia</t>
    </r>
  </si>
  <si>
    <t>PCP</t>
  </si>
  <si>
    <r>
      <rPr>
        <u/>
        <sz val="10"/>
        <color rgb="FF1155CC"/>
        <rFont val="Arial"/>
      </rPr>
      <t>Almiro Moreira</t>
    </r>
  </si>
  <si>
    <r>
      <rPr>
        <u/>
        <sz val="10"/>
        <color rgb="FF1155CC"/>
        <rFont val="Arial"/>
      </rPr>
      <t>Amílcar Almeida</t>
    </r>
  </si>
  <si>
    <t>Vila Real</t>
  </si>
  <si>
    <r>
      <rPr>
        <u/>
        <sz val="10"/>
        <color rgb="FF1155CC"/>
        <rFont val="Arial"/>
      </rPr>
      <t>Ana Bernardo</t>
    </r>
  </si>
  <si>
    <r>
      <rPr>
        <u/>
        <sz val="10"/>
        <color rgb="FF1155CC"/>
        <rFont val="Arial"/>
      </rPr>
      <t>Ana Gabriela Cabilhas</t>
    </r>
  </si>
  <si>
    <r>
      <rPr>
        <u/>
        <sz val="10"/>
        <color rgb="FF1155CC"/>
        <rFont val="Arial"/>
      </rPr>
      <t>Ana Isabel Ferreira</t>
    </r>
  </si>
  <si>
    <r>
      <rPr>
        <u/>
        <sz val="10"/>
        <color rgb="FF1155CC"/>
        <rFont val="Arial"/>
      </rPr>
      <t>Ana Martins</t>
    </r>
  </si>
  <si>
    <t>Açores</t>
  </si>
  <si>
    <t>CH</t>
  </si>
  <si>
    <r>
      <rPr>
        <u/>
        <sz val="10"/>
        <color rgb="FF1155CC"/>
        <rFont val="Arial"/>
      </rPr>
      <t>Ana Oliveira</t>
    </r>
  </si>
  <si>
    <t>Coimbra</t>
  </si>
  <si>
    <r>
      <rPr>
        <u/>
        <sz val="10"/>
        <color rgb="FF1155CC"/>
        <rFont val="Arial"/>
      </rPr>
      <t>Ana Silveira</t>
    </r>
  </si>
  <si>
    <r>
      <rPr>
        <u/>
        <sz val="10"/>
        <color rgb="FF1155CC"/>
        <rFont val="Arial"/>
      </rPr>
      <t>André Pinotes Batista</t>
    </r>
  </si>
  <si>
    <t>Setúbal</t>
  </si>
  <si>
    <r>
      <rPr>
        <u/>
        <sz val="10"/>
        <color rgb="FF1155CC"/>
        <rFont val="Arial"/>
      </rPr>
      <t>André Rijo</t>
    </r>
  </si>
  <si>
    <r>
      <rPr>
        <u/>
        <sz val="10"/>
        <color rgb="FF1155CC"/>
        <rFont val="Arial"/>
      </rPr>
      <t>André Ventura</t>
    </r>
  </si>
  <si>
    <r>
      <rPr>
        <u/>
        <sz val="10"/>
        <color rgb="FF1155CC"/>
        <rFont val="Arial"/>
      </rPr>
      <t>Andreia Neto</t>
    </r>
  </si>
  <si>
    <r>
      <rPr>
        <u/>
        <sz val="10"/>
        <color rgb="FF1155CC"/>
        <rFont val="Arial"/>
      </rPr>
      <t>Angélique Da Teresa</t>
    </r>
  </si>
  <si>
    <t>IL</t>
  </si>
  <si>
    <r>
      <rPr>
        <u/>
        <sz val="10"/>
        <color rgb="FF1155CC"/>
        <rFont val="Arial"/>
      </rPr>
      <t>António Carneiro</t>
    </r>
  </si>
  <si>
    <t>Beja</t>
  </si>
  <si>
    <r>
      <rPr>
        <u/>
        <sz val="10"/>
        <color rgb="FF1155CC"/>
        <rFont val="Arial"/>
      </rPr>
      <t>António Mendonça Mendes</t>
    </r>
  </si>
  <si>
    <r>
      <rPr>
        <u/>
        <sz val="10"/>
        <color rgb="FF1155CC"/>
        <rFont val="Arial"/>
      </rPr>
      <t>António Rodrigues</t>
    </r>
  </si>
  <si>
    <r>
      <rPr>
        <u/>
        <sz val="10"/>
        <color rgb="FF1155CC"/>
        <rFont val="Arial"/>
      </rPr>
      <t>Armando Grave</t>
    </r>
  </si>
  <si>
    <r>
      <rPr>
        <u/>
        <sz val="10"/>
        <color rgb="FF1155CC"/>
        <rFont val="Arial"/>
      </rPr>
      <t>Armando Mourisco</t>
    </r>
  </si>
  <si>
    <t>Viseu</t>
  </si>
  <si>
    <r>
      <rPr>
        <u/>
        <sz val="10"/>
        <color rgb="FF1155CC"/>
        <rFont val="Arial"/>
      </rPr>
      <t>Bárbara do Amaral Correia</t>
    </r>
  </si>
  <si>
    <t>Faro</t>
  </si>
  <si>
    <r>
      <rPr>
        <u/>
        <sz val="10"/>
        <color rgb="FF1155CC"/>
        <rFont val="Arial"/>
      </rPr>
      <t>Bernardo Pessanha</t>
    </r>
  </si>
  <si>
    <r>
      <rPr>
        <u/>
        <sz val="10"/>
        <color rgb="FF1155CC"/>
        <rFont val="Arial"/>
      </rPr>
      <t>Bruno Faria</t>
    </r>
  </si>
  <si>
    <r>
      <rPr>
        <u/>
        <sz val="10"/>
        <color rgb="FF1155CC"/>
        <rFont val="Arial"/>
      </rPr>
      <t>Bruno Nunes</t>
    </r>
  </si>
  <si>
    <r>
      <rPr>
        <u/>
        <sz val="10"/>
        <color rgb="FF1155CC"/>
        <rFont val="Arial"/>
      </rPr>
      <t>Bruno Ventura</t>
    </r>
  </si>
  <si>
    <r>
      <rPr>
        <u/>
        <sz val="10"/>
        <color rgb="FF1155CC"/>
        <rFont val="Arial"/>
      </rPr>
      <t>Bruno Vitorino</t>
    </r>
  </si>
  <si>
    <r>
      <rPr>
        <u/>
        <sz val="10"/>
        <color rgb="FF1155CC"/>
        <rFont val="Arial"/>
      </rPr>
      <t>Carla Barros</t>
    </r>
  </si>
  <si>
    <r>
      <rPr>
        <u/>
        <sz val="10"/>
        <color rgb="FF1155CC"/>
        <rFont val="Arial"/>
      </rPr>
      <t>Carlos Alberto Gonçalves</t>
    </r>
  </si>
  <si>
    <t>Europa</t>
  </si>
  <si>
    <r>
      <rPr>
        <u/>
        <sz val="10"/>
        <color rgb="FF1155CC"/>
        <rFont val="Arial"/>
      </rPr>
      <t>Carlos Barbosa</t>
    </r>
  </si>
  <si>
    <t>Braga</t>
  </si>
  <si>
    <r>
      <rPr>
        <u/>
        <sz val="10"/>
        <color rgb="FF1155CC"/>
        <rFont val="Arial"/>
      </rPr>
      <t>Carlos Cação</t>
    </r>
  </si>
  <si>
    <r>
      <rPr>
        <u/>
        <sz val="10"/>
        <color rgb="FF1155CC"/>
        <rFont val="Arial"/>
      </rPr>
      <t>Carlos Guimarães Pinto</t>
    </r>
  </si>
  <si>
    <r>
      <rPr>
        <u/>
        <sz val="10"/>
        <color rgb="FF1155CC"/>
        <rFont val="Arial"/>
      </rPr>
      <t>Carlos Pereira</t>
    </r>
  </si>
  <si>
    <r>
      <rPr>
        <u/>
        <sz val="10"/>
        <color rgb="FF1155CC"/>
        <rFont val="Arial"/>
      </rPr>
      <t>Carlos Silva Santiago</t>
    </r>
  </si>
  <si>
    <r>
      <rPr>
        <u/>
        <sz val="10"/>
        <color rgb="FF1155CC"/>
        <rFont val="Arial"/>
      </rPr>
      <t>Carolina Marques</t>
    </r>
  </si>
  <si>
    <r>
      <rPr>
        <u/>
        <sz val="10"/>
        <color rgb="FF1155CC"/>
        <rFont val="Arial"/>
      </rPr>
      <t>Catarina Louro</t>
    </r>
  </si>
  <si>
    <t>Leiria</t>
  </si>
  <si>
    <r>
      <rPr>
        <u/>
        <sz val="10"/>
        <color rgb="FF1155CC"/>
        <rFont val="Arial"/>
      </rPr>
      <t>Catarina Salgueiro</t>
    </r>
  </si>
  <si>
    <t>Santarém</t>
  </si>
  <si>
    <r>
      <rPr>
        <u/>
        <sz val="10"/>
        <color rgb="FF1155CC"/>
        <rFont val="Arial"/>
      </rPr>
      <t>Célia Freire</t>
    </r>
  </si>
  <si>
    <r>
      <rPr>
        <u/>
        <sz val="10"/>
        <color rgb="FF1155CC"/>
        <rFont val="Arial"/>
      </rPr>
      <t>Cláudia Estêvão</t>
    </r>
  </si>
  <si>
    <r>
      <rPr>
        <u/>
        <sz val="10"/>
        <color rgb="FF1155CC"/>
        <rFont val="Arial"/>
      </rPr>
      <t>Cristina Rodrigues</t>
    </r>
  </si>
  <si>
    <r>
      <rPr>
        <u/>
        <sz val="10"/>
        <color rgb="FF1155CC"/>
        <rFont val="Arial"/>
      </rPr>
      <t>Cristina Vieira Henriques</t>
    </r>
  </si>
  <si>
    <r>
      <rPr>
        <u/>
        <sz val="10"/>
        <color rgb="FF1155CC"/>
        <rFont val="Arial"/>
      </rPr>
      <t>Cristóvão Norte</t>
    </r>
  </si>
  <si>
    <r>
      <rPr>
        <u/>
        <sz val="10"/>
        <color rgb="FF1155CC"/>
        <rFont val="Arial"/>
      </rPr>
      <t>Dália Miranda</t>
    </r>
  </si>
  <si>
    <r>
      <rPr>
        <u/>
        <sz val="10"/>
        <color rgb="FF1155CC"/>
        <rFont val="Arial"/>
      </rPr>
      <t>Daniel Teixeira</t>
    </r>
  </si>
  <si>
    <r>
      <rPr>
        <u/>
        <sz val="10"/>
        <color rgb="FF1155CC"/>
        <rFont val="Arial"/>
      </rPr>
      <t>Davide Amado</t>
    </r>
  </si>
  <si>
    <r>
      <rPr>
        <u/>
        <sz val="10"/>
        <color rgb="FF1155CC"/>
        <rFont val="Arial"/>
      </rPr>
      <t>Diogo Pacheco de Amorim</t>
    </r>
  </si>
  <si>
    <r>
      <rPr>
        <u/>
        <sz val="10"/>
        <color rgb="FF1155CC"/>
        <rFont val="Arial"/>
      </rPr>
      <t>Dulcineia Catarina Moura</t>
    </r>
  </si>
  <si>
    <r>
      <rPr>
        <u/>
        <sz val="10"/>
        <color rgb="FF1155CC"/>
        <rFont val="Arial"/>
      </rPr>
      <t>Edite Estrela</t>
    </r>
  </si>
  <si>
    <r>
      <rPr>
        <u/>
        <sz val="10"/>
        <color rgb="FF1155CC"/>
        <rFont val="Arial"/>
      </rPr>
      <t>Eduardo Pinheiro</t>
    </r>
  </si>
  <si>
    <r>
      <rPr>
        <u/>
        <sz val="10"/>
        <color rgb="FF1155CC"/>
        <rFont val="Arial"/>
      </rPr>
      <t>Eduardo Teixeira</t>
    </r>
  </si>
  <si>
    <t>Viana do Castelo</t>
  </si>
  <si>
    <r>
      <rPr>
        <u/>
        <sz val="10"/>
        <color rgb="FF1155CC"/>
        <rFont val="Arial"/>
      </rPr>
      <t>Eliseu Neves</t>
    </r>
  </si>
  <si>
    <r>
      <rPr>
        <u/>
        <sz val="10"/>
        <color rgb="FF1155CC"/>
        <rFont val="Arial"/>
      </rPr>
      <t>Elza Pais</t>
    </r>
  </si>
  <si>
    <r>
      <rPr>
        <u/>
        <sz val="10"/>
        <color rgb="FF1155CC"/>
        <rFont val="Arial"/>
      </rPr>
      <t>Emanuel Câmara</t>
    </r>
  </si>
  <si>
    <t>Madeira</t>
  </si>
  <si>
    <r>
      <rPr>
        <u/>
        <sz val="10"/>
        <color rgb="FF1155CC"/>
        <rFont val="Arial"/>
      </rPr>
      <t>Emídio Guerreiro</t>
    </r>
  </si>
  <si>
    <r>
      <rPr>
        <u/>
        <sz val="10"/>
        <color rgb="FF1155CC"/>
        <rFont val="Arial"/>
      </rPr>
      <t>Eurico Brilhante Dias</t>
    </r>
  </si>
  <si>
    <r>
      <rPr>
        <u/>
        <sz val="10"/>
        <color rgb="FF1155CC"/>
        <rFont val="Arial"/>
      </rPr>
      <t>Eurídice Pereira</t>
    </r>
  </si>
  <si>
    <r>
      <rPr>
        <u/>
        <sz val="10"/>
        <color rgb="FF1155CC"/>
        <rFont val="Arial"/>
      </rPr>
      <t>Eva Brás Pinho</t>
    </r>
  </si>
  <si>
    <r>
      <rPr>
        <u/>
        <sz val="10"/>
        <color rgb="FF1155CC"/>
        <rFont val="Arial"/>
      </rPr>
      <t>Eva Cruzeiro</t>
    </r>
  </si>
  <si>
    <r>
      <rPr>
        <u/>
        <sz val="10"/>
        <color rgb="FF1155CC"/>
        <rFont val="Arial"/>
      </rPr>
      <t>Fabian Figueiredo</t>
    </r>
  </si>
  <si>
    <t>BE</t>
  </si>
  <si>
    <t>Felicidade Vital</t>
  </si>
  <si>
    <r>
      <rPr>
        <u/>
        <sz val="10"/>
        <color rgb="FF1155CC"/>
        <rFont val="Arial"/>
      </rPr>
      <t>Fernando Queiroga</t>
    </r>
  </si>
  <si>
    <r>
      <rPr>
        <u/>
        <sz val="10"/>
        <color rgb="FF1155CC"/>
        <rFont val="Arial"/>
      </rPr>
      <t>Filipa Pinto</t>
    </r>
  </si>
  <si>
    <t>L</t>
  </si>
  <si>
    <r>
      <rPr>
        <u/>
        <sz val="10"/>
        <color rgb="FF1155CC"/>
        <rFont val="Arial"/>
      </rPr>
      <t>Filipe Melo</t>
    </r>
  </si>
  <si>
    <r>
      <rPr>
        <u/>
        <sz val="10"/>
        <color rgb="FF1155CC"/>
        <rFont val="Arial"/>
      </rPr>
      <t>Filipe Neto Brandão</t>
    </r>
  </si>
  <si>
    <r>
      <rPr>
        <u/>
        <sz val="10"/>
        <color rgb="FF1155CC"/>
        <rFont val="Arial"/>
      </rPr>
      <t>Filipe Sousa</t>
    </r>
  </si>
  <si>
    <t>JPP</t>
  </si>
  <si>
    <r>
      <rPr>
        <u/>
        <sz val="10"/>
        <color rgb="FF1155CC"/>
        <rFont val="Arial"/>
      </rPr>
      <t>Firmino Ferreira</t>
    </r>
  </si>
  <si>
    <r>
      <rPr>
        <u/>
        <sz val="10"/>
        <color rgb="FF1155CC"/>
        <rFont val="Arial"/>
      </rPr>
      <t>Francisco César</t>
    </r>
  </si>
  <si>
    <r>
      <rPr>
        <u/>
        <sz val="11"/>
        <color rgb="FF1155CC"/>
        <rFont val="Roboto"/>
      </rPr>
      <t>Francisco Covelinhas Lopes</t>
    </r>
  </si>
  <si>
    <r>
      <rPr>
        <u/>
        <sz val="11"/>
        <color rgb="FF1155CC"/>
        <rFont val="Roboto"/>
      </rPr>
      <t>Francisco Figueira</t>
    </r>
  </si>
  <si>
    <t>Évora</t>
  </si>
  <si>
    <r>
      <rPr>
        <u/>
        <sz val="11"/>
        <color rgb="FF1155CC"/>
        <rFont val="Roboto"/>
      </rPr>
      <t>Francisco Gomes</t>
    </r>
  </si>
  <si>
    <r>
      <rPr>
        <u/>
        <sz val="11"/>
        <color rgb="FF1155CC"/>
        <rFont val="Roboto"/>
      </rPr>
      <t>Francisco José Martins</t>
    </r>
  </si>
  <si>
    <r>
      <rPr>
        <u/>
        <sz val="11"/>
        <color rgb="FF1155CC"/>
        <rFont val="Roboto"/>
      </rPr>
      <t>Francisco Pimentel</t>
    </r>
  </si>
  <si>
    <r>
      <rPr>
        <u/>
        <sz val="11"/>
        <color rgb="FF1155CC"/>
        <rFont val="Roboto"/>
      </rPr>
      <t>Francisco Sousa Vieira</t>
    </r>
  </si>
  <si>
    <r>
      <rPr>
        <u/>
        <sz val="11"/>
        <color rgb="FF1155CC"/>
        <rFont val="Roboto"/>
      </rPr>
      <t>Frederico Francisco</t>
    </r>
  </si>
  <si>
    <r>
      <rPr>
        <u/>
        <sz val="11"/>
        <color rgb="FF1155CC"/>
        <rFont val="Roboto"/>
      </rPr>
      <t>Germana Rocha</t>
    </r>
  </si>
  <si>
    <r>
      <rPr>
        <u/>
        <sz val="11"/>
        <color rgb="FF1155CC"/>
        <rFont val="Roboto"/>
      </rPr>
      <t>Gonçalo Dinis Capitão</t>
    </r>
  </si>
  <si>
    <r>
      <rPr>
        <u/>
        <sz val="11"/>
        <color rgb="FF1155CC"/>
        <rFont val="Roboto"/>
      </rPr>
      <t>Gonçalo Lage</t>
    </r>
  </si>
  <si>
    <r>
      <rPr>
        <u/>
        <sz val="11"/>
        <color rgb="FF1155CC"/>
        <rFont val="Roboto"/>
      </rPr>
      <t>Gonçalo Valente</t>
    </r>
  </si>
  <si>
    <r>
      <rPr>
        <u/>
        <sz val="11"/>
        <color rgb="FF1155CC"/>
        <rFont val="Roboto"/>
      </rPr>
      <t>Helga Correia</t>
    </r>
  </si>
  <si>
    <r>
      <rPr>
        <u/>
        <sz val="11"/>
        <color rgb="FF1155CC"/>
        <rFont val="Roboto"/>
      </rPr>
      <t>Hernâni Dias</t>
    </r>
  </si>
  <si>
    <t>Bragança</t>
  </si>
  <si>
    <r>
      <rPr>
        <u/>
        <sz val="11"/>
        <color rgb="FF1155CC"/>
        <rFont val="Roboto"/>
      </rPr>
      <t>Hernâni Loureiro</t>
    </r>
  </si>
  <si>
    <r>
      <rPr>
        <u/>
        <sz val="11"/>
        <color rgb="FF1155CC"/>
        <rFont val="Roboto"/>
      </rPr>
      <t>Hugo Carneiro</t>
    </r>
  </si>
  <si>
    <r>
      <rPr>
        <u/>
        <sz val="11"/>
        <color rgb="FF1155CC"/>
        <rFont val="Roboto"/>
      </rPr>
      <t>Hugo Costa</t>
    </r>
  </si>
  <si>
    <r>
      <rPr>
        <u/>
        <sz val="11"/>
        <color rgb="FF1155CC"/>
        <rFont val="Roboto"/>
      </rPr>
      <t>Hugo Oliveira</t>
    </r>
  </si>
  <si>
    <r>
      <rPr>
        <u/>
        <sz val="11"/>
        <color rgb="FF1155CC"/>
        <rFont val="Roboto"/>
      </rPr>
      <t>Hugo Patrício Oliveira</t>
    </r>
  </si>
  <si>
    <r>
      <rPr>
        <u/>
        <sz val="11"/>
        <color rgb="FF1155CC"/>
        <rFont val="Roboto"/>
      </rPr>
      <t>Hugo Soares</t>
    </r>
  </si>
  <si>
    <r>
      <rPr>
        <u/>
        <sz val="11"/>
        <color rgb="FF1155CC"/>
        <rFont val="Roboto"/>
      </rPr>
      <t>Humberto Brito</t>
    </r>
  </si>
  <si>
    <r>
      <rPr>
        <u/>
        <sz val="11"/>
        <color rgb="FF1155CC"/>
        <rFont val="Roboto"/>
      </rPr>
      <t>Idalina Durães</t>
    </r>
  </si>
  <si>
    <r>
      <rPr>
        <u/>
        <sz val="11"/>
        <color rgb="FF1155CC"/>
        <rFont val="Roboto"/>
      </rPr>
      <t>Inês Barroso</t>
    </r>
  </si>
  <si>
    <r>
      <rPr>
        <u/>
        <sz val="11"/>
        <color rgb="FF1155CC"/>
        <rFont val="Roboto"/>
      </rPr>
      <t>Inês de Sousa Real</t>
    </r>
  </si>
  <si>
    <t>PAN</t>
  </si>
  <si>
    <r>
      <rPr>
        <u/>
        <sz val="11"/>
        <color rgb="FF1155CC"/>
        <rFont val="Roboto"/>
      </rPr>
      <t>Irene Costa</t>
    </r>
  </si>
  <si>
    <r>
      <rPr>
        <u/>
        <sz val="11"/>
        <color rgb="FF1155CC"/>
        <rFont val="Roboto"/>
      </rPr>
      <t>Isabel Alves Moreira</t>
    </r>
  </si>
  <si>
    <r>
      <rPr>
        <u/>
        <sz val="11"/>
        <color rgb="FF1155CC"/>
        <rFont val="Roboto"/>
      </rPr>
      <t>Isabel Fernandes</t>
    </r>
  </si>
  <si>
    <r>
      <rPr>
        <u/>
        <sz val="11"/>
        <color rgb="FF1155CC"/>
        <rFont val="Roboto"/>
      </rPr>
      <t>Isabel Mendes Lopes</t>
    </r>
  </si>
  <si>
    <r>
      <rPr>
        <u/>
        <sz val="11"/>
        <color rgb="FF1155CC"/>
        <rFont val="Roboto"/>
      </rPr>
      <t>Isaura Morais</t>
    </r>
  </si>
  <si>
    <r>
      <rPr>
        <u/>
        <sz val="11"/>
        <color rgb="FF1155CC"/>
        <rFont val="Roboto"/>
      </rPr>
      <t>Joana Cordeiro</t>
    </r>
  </si>
  <si>
    <r>
      <rPr>
        <u/>
        <sz val="11"/>
        <color rgb="FF1155CC"/>
        <rFont val="Roboto"/>
      </rPr>
      <t>Joana Lima</t>
    </r>
  </si>
  <si>
    <r>
      <rPr>
        <u/>
        <sz val="11"/>
        <color rgb="FF1155CC"/>
        <rFont val="Roboto"/>
      </rPr>
      <t>Joana Seabra</t>
    </r>
  </si>
  <si>
    <r>
      <rPr>
        <u/>
        <sz val="11"/>
        <color rgb="FF1155CC"/>
        <rFont val="Roboto"/>
      </rPr>
      <t>João Antunes dos Santos</t>
    </r>
  </si>
  <si>
    <r>
      <rPr>
        <u/>
        <sz val="11"/>
        <color rgb="FF1155CC"/>
        <rFont val="Roboto"/>
      </rPr>
      <t>João Lopes Aleixo</t>
    </r>
  </si>
  <si>
    <t>Portalegre</t>
  </si>
  <si>
    <r>
      <rPr>
        <u/>
        <sz val="11"/>
        <color rgb="FF1155CC"/>
        <rFont val="Roboto"/>
      </rPr>
      <t>João Paulo Graça</t>
    </r>
  </si>
  <si>
    <r>
      <rPr>
        <u/>
        <sz val="11"/>
        <color rgb="FF1155CC"/>
        <rFont val="Roboto"/>
      </rPr>
      <t>João Pedro Louro</t>
    </r>
  </si>
  <si>
    <t>João Pinho de Almeida</t>
  </si>
  <si>
    <t>CDS-PP</t>
  </si>
  <si>
    <r>
      <rPr>
        <u/>
        <sz val="11"/>
        <color rgb="FF1155CC"/>
        <rFont val="Roboto"/>
      </rPr>
      <t>João Ribeiro</t>
    </r>
  </si>
  <si>
    <t>Castelo Branco</t>
  </si>
  <si>
    <r>
      <rPr>
        <u/>
        <sz val="11"/>
        <color rgb="FF1155CC"/>
        <rFont val="Roboto"/>
      </rPr>
      <t>João Tilly</t>
    </r>
  </si>
  <si>
    <r>
      <rPr>
        <u/>
        <sz val="11"/>
        <color rgb="FF1155CC"/>
        <rFont val="Roboto"/>
      </rPr>
      <t>João Torres</t>
    </r>
  </si>
  <si>
    <r>
      <rPr>
        <u/>
        <sz val="11"/>
        <color rgb="FF1155CC"/>
        <rFont val="Roboto"/>
      </rPr>
      <t>Joaquim Barbosa</t>
    </r>
  </si>
  <si>
    <r>
      <rPr>
        <u/>
        <sz val="11"/>
        <color rgb="FF1155CC"/>
        <rFont val="Roboto"/>
      </rPr>
      <t>Jorge Galveias</t>
    </r>
  </si>
  <si>
    <r>
      <rPr>
        <u/>
        <sz val="11"/>
        <color rgb="FF1155CC"/>
        <rFont val="Roboto"/>
      </rPr>
      <t>Jorge Miguel Teixeira</t>
    </r>
  </si>
  <si>
    <r>
      <rPr>
        <u/>
        <sz val="11"/>
        <color rgb="FF1155CC"/>
        <rFont val="Roboto"/>
      </rPr>
      <t>Jorge Pinto</t>
    </r>
  </si>
  <si>
    <r>
      <rPr>
        <u/>
        <sz val="11"/>
        <color rgb="FF1155CC"/>
        <rFont val="Roboto"/>
      </rPr>
      <t>José Barreira Soares</t>
    </r>
  </si>
  <si>
    <r>
      <rPr>
        <u/>
        <sz val="11"/>
        <color rgb="FF1155CC"/>
        <rFont val="Roboto"/>
      </rPr>
      <t>José Carlos Barbosa</t>
    </r>
  </si>
  <si>
    <r>
      <rPr>
        <u/>
        <sz val="11"/>
        <color rgb="FF1155CC"/>
        <rFont val="Roboto"/>
      </rPr>
      <t>José Carvalho</t>
    </r>
  </si>
  <si>
    <r>
      <rPr>
        <u/>
        <sz val="11"/>
        <color rgb="FF1155CC"/>
        <rFont val="Roboto"/>
      </rPr>
      <t>José Cesário</t>
    </r>
  </si>
  <si>
    <t>Fora da Europa</t>
  </si>
  <si>
    <r>
      <rPr>
        <u/>
        <sz val="11"/>
        <color rgb="FF1155CC"/>
        <rFont val="Roboto"/>
      </rPr>
      <t>José Dias Fernandes</t>
    </r>
  </si>
  <si>
    <r>
      <rPr>
        <u/>
        <sz val="11"/>
        <color rgb="FF1155CC"/>
        <rFont val="Roboto"/>
      </rPr>
      <t>José Dotti</t>
    </r>
  </si>
  <si>
    <r>
      <rPr>
        <u/>
        <sz val="11"/>
        <color rgb="FF1155CC"/>
        <rFont val="Roboto"/>
      </rPr>
      <t>José Lago Gonçalves</t>
    </r>
  </si>
  <si>
    <r>
      <rPr>
        <u/>
        <sz val="11"/>
        <color rgb="FF1155CC"/>
        <rFont val="Roboto"/>
      </rPr>
      <t>José Luís Carneiro</t>
    </r>
  </si>
  <si>
    <r>
      <rPr>
        <u/>
        <sz val="11"/>
        <color rgb="FF1155CC"/>
        <rFont val="Roboto"/>
      </rPr>
      <t>José Pedro Aguiar-Branco</t>
    </r>
  </si>
  <si>
    <r>
      <rPr>
        <u/>
        <sz val="11"/>
        <color rgb="FF1155CC"/>
        <rFont val="Roboto"/>
      </rPr>
      <t>Júlia Rodrigues</t>
    </r>
  </si>
  <si>
    <r>
      <rPr>
        <u/>
        <sz val="11"/>
        <color rgb="FF1155CC"/>
        <rFont val="Roboto"/>
      </rPr>
      <t>Leandro Ferreira Luís</t>
    </r>
  </si>
  <si>
    <r>
      <rPr>
        <u/>
        <sz val="11"/>
        <color rgb="FF1155CC"/>
        <rFont val="Roboto"/>
      </rPr>
      <t>Leonor Cipriano</t>
    </r>
  </si>
  <si>
    <r>
      <rPr>
        <u/>
        <sz val="11"/>
        <color rgb="FF1155CC"/>
        <rFont val="Roboto"/>
      </rPr>
      <t>Lia Ferreira</t>
    </r>
  </si>
  <si>
    <r>
      <rPr>
        <u/>
        <sz val="11"/>
        <color rgb="FF1155CC"/>
        <rFont val="Roboto"/>
      </rPr>
      <t>Liliana Fidalgo</t>
    </r>
  </si>
  <si>
    <t xml:space="preserve">Lisboa
</t>
  </si>
  <si>
    <r>
      <rPr>
        <u/>
        <sz val="11"/>
        <color rgb="FF1155CC"/>
        <rFont val="Roboto"/>
      </rPr>
      <t>Liliana Sousa</t>
    </r>
  </si>
  <si>
    <r>
      <rPr>
        <u/>
        <sz val="11"/>
        <color rgb="FF1155CC"/>
        <rFont val="Roboto"/>
      </rPr>
      <t>Lina Pinheiro</t>
    </r>
  </si>
  <si>
    <r>
      <rPr>
        <u/>
        <sz val="11"/>
        <color rgb="FF1155CC"/>
        <rFont val="Roboto"/>
      </rPr>
      <t>Luís Dias</t>
    </r>
  </si>
  <si>
    <r>
      <rPr>
        <u/>
        <sz val="11"/>
        <color rgb="FF1155CC"/>
        <rFont val="Roboto"/>
      </rPr>
      <t>Luís Graça</t>
    </r>
  </si>
  <si>
    <r>
      <rPr>
        <u/>
        <sz val="11"/>
        <color rgb="FF1155CC"/>
        <rFont val="Roboto"/>
      </rPr>
      <t>Luís Moreira Testa</t>
    </r>
  </si>
  <si>
    <r>
      <rPr>
        <u/>
        <sz val="11"/>
        <color rgb="FF1155CC"/>
        <rFont val="Roboto"/>
      </rPr>
      <t>Luís Paulo Fernandes</t>
    </r>
  </si>
  <si>
    <r>
      <rPr>
        <u/>
        <sz val="11"/>
        <color rgb="FF1155CC"/>
        <rFont val="Roboto"/>
      </rPr>
      <t>Madalena Cordeiro</t>
    </r>
  </si>
  <si>
    <r>
      <rPr>
        <u/>
        <sz val="11"/>
        <color rgb="FF1155CC"/>
        <rFont val="Roboto"/>
      </rPr>
      <t>Manuel Magno</t>
    </r>
  </si>
  <si>
    <r>
      <rPr>
        <u/>
        <sz val="11"/>
        <color rgb="FF1155CC"/>
        <rFont val="Roboto"/>
      </rPr>
      <t>Manuela Carvalho</t>
    </r>
  </si>
  <si>
    <r>
      <rPr>
        <u/>
        <sz val="10"/>
        <color rgb="FF1155CC"/>
        <rFont val="Arial"/>
      </rPr>
      <t>Manuela Tender</t>
    </r>
  </si>
  <si>
    <r>
      <rPr>
        <u/>
        <sz val="10"/>
        <color rgb="FF1155CC"/>
        <rFont val="Arial"/>
      </rPr>
      <t>Marco Claudino</t>
    </r>
  </si>
  <si>
    <r>
      <rPr>
        <u/>
        <sz val="10"/>
        <color rgb="FF1155CC"/>
        <rFont val="Arial"/>
      </rPr>
      <t>Marcos Perestrello</t>
    </r>
  </si>
  <si>
    <r>
      <rPr>
        <u/>
        <sz val="10"/>
        <color rgb="FF1155CC"/>
        <rFont val="Arial"/>
      </rPr>
      <t>Marcus Santos</t>
    </r>
  </si>
  <si>
    <r>
      <rPr>
        <u/>
        <sz val="11"/>
        <color rgb="FF1155CC"/>
        <rFont val="Roboto"/>
      </rPr>
      <t>Margarida Afonso</t>
    </r>
  </si>
  <si>
    <r>
      <rPr>
        <u/>
        <sz val="11"/>
        <color rgb="FF1155CC"/>
        <rFont val="Roboto"/>
      </rPr>
      <t>Margarida Saavedra</t>
    </r>
  </si>
  <si>
    <r>
      <rPr>
        <u/>
        <sz val="10"/>
        <color rgb="FF1155CC"/>
        <rFont val="Arial"/>
      </rPr>
      <t>Maria José Aguiar</t>
    </r>
  </si>
  <si>
    <r>
      <rPr>
        <u/>
        <sz val="11"/>
        <color rgb="FF1155CC"/>
        <rFont val="Roboto"/>
      </rPr>
      <t>Mariana Leitão</t>
    </r>
  </si>
  <si>
    <r>
      <rPr>
        <u/>
        <sz val="11"/>
        <color rgb="FF1155CC"/>
        <rFont val="Roboto"/>
      </rPr>
      <t>Mariana Vieira da Silva</t>
    </r>
  </si>
  <si>
    <r>
      <rPr>
        <u/>
        <sz val="11"/>
        <color rgb="FF1155CC"/>
        <rFont val="Roboto"/>
      </rPr>
      <t>Marina Gonçalves</t>
    </r>
  </si>
  <si>
    <r>
      <rPr>
        <u/>
        <sz val="11"/>
        <color rgb="FF1155CC"/>
        <rFont val="Roboto"/>
      </rPr>
      <t>Mário Amorim Lopes</t>
    </r>
  </si>
  <si>
    <r>
      <rPr>
        <u/>
        <sz val="11"/>
        <color rgb="FF1155CC"/>
        <rFont val="Roboto"/>
      </rPr>
      <t>Marta Martins da Silva</t>
    </r>
  </si>
  <si>
    <r>
      <rPr>
        <u/>
        <sz val="11"/>
        <color rgb="FF1155CC"/>
        <rFont val="Roboto"/>
      </rPr>
      <t>Martim Syder</t>
    </r>
  </si>
  <si>
    <r>
      <rPr>
        <u/>
        <sz val="11"/>
        <color rgb="FF1155CC"/>
        <rFont val="Roboto"/>
      </rPr>
      <t>Maurício Marques</t>
    </r>
  </si>
  <si>
    <r>
      <rPr>
        <u/>
        <sz val="11"/>
        <color rgb="FF1155CC"/>
        <rFont val="Roboto"/>
      </rPr>
      <t>Miguel Cabrita</t>
    </r>
  </si>
  <si>
    <r>
      <rPr>
        <u/>
        <sz val="11"/>
        <color rgb="FF1155CC"/>
        <rFont val="Roboto"/>
      </rPr>
      <t>Miguel Guimarães</t>
    </r>
  </si>
  <si>
    <r>
      <rPr>
        <u/>
        <sz val="11"/>
        <color rgb="FF1155CC"/>
        <rFont val="Roboto"/>
      </rPr>
      <t>Miguel Matos</t>
    </r>
  </si>
  <si>
    <r>
      <rPr>
        <u/>
        <sz val="11"/>
        <color rgb="FF1155CC"/>
        <rFont val="Roboto"/>
      </rPr>
      <t>Miguel Rangel</t>
    </r>
  </si>
  <si>
    <r>
      <rPr>
        <u/>
        <sz val="11"/>
        <color rgb="FF1155CC"/>
        <rFont val="Roboto"/>
      </rPr>
      <t>Miguel Santos</t>
    </r>
  </si>
  <si>
    <r>
      <rPr>
        <u/>
        <sz val="11"/>
        <color rgb="FF1155CC"/>
        <rFont val="Roboto"/>
      </rPr>
      <t>Nuna Menezes</t>
    </r>
  </si>
  <si>
    <r>
      <rPr>
        <u/>
        <sz val="11"/>
        <color rgb="FF1155CC"/>
        <rFont val="Roboto"/>
      </rPr>
      <t>Nuno Fazenda</t>
    </r>
  </si>
  <si>
    <r>
      <rPr>
        <u/>
        <sz val="11"/>
        <color rgb="FF1155CC"/>
        <rFont val="Roboto"/>
      </rPr>
      <t>Nuno Gabriel</t>
    </r>
  </si>
  <si>
    <r>
      <rPr>
        <u/>
        <sz val="11"/>
        <color rgb="FF1155CC"/>
        <rFont val="Roboto"/>
      </rPr>
      <t>Nuno Jorge Gonçalves</t>
    </r>
  </si>
  <si>
    <r>
      <rPr>
        <u/>
        <sz val="11"/>
        <color rgb="FF1155CC"/>
        <rFont val="Roboto"/>
      </rPr>
      <t>Nuno Simões de Melo</t>
    </r>
  </si>
  <si>
    <r>
      <rPr>
        <u/>
        <sz val="11"/>
        <color rgb="FF1155CC"/>
        <rFont val="Roboto"/>
      </rPr>
      <t>Olga Freire</t>
    </r>
  </si>
  <si>
    <r>
      <rPr>
        <u/>
        <sz val="10"/>
        <color rgb="FF1155CC"/>
        <rFont val="Arial"/>
      </rPr>
      <t>Patrícia Almeida</t>
    </r>
  </si>
  <si>
    <r>
      <rPr>
        <u/>
        <sz val="11"/>
        <color rgb="FF1155CC"/>
        <rFont val="Roboto"/>
      </rPr>
      <t>Patrícia Carvalho</t>
    </r>
  </si>
  <si>
    <r>
      <rPr>
        <u/>
        <sz val="11"/>
        <color rgb="FF1155CC"/>
        <rFont val="Roboto"/>
      </rPr>
      <t>Patrícia Faro</t>
    </r>
  </si>
  <si>
    <r>
      <rPr>
        <u/>
        <sz val="11"/>
        <color rgb="FF1155CC"/>
        <rFont val="Roboto"/>
      </rPr>
      <t>Patrícia Gonçalves</t>
    </r>
  </si>
  <si>
    <r>
      <rPr>
        <u/>
        <sz val="11"/>
        <color rgb="FF1155CC"/>
        <rFont val="Roboto"/>
      </rPr>
      <t>Patrícia Nascimento</t>
    </r>
  </si>
  <si>
    <r>
      <rPr>
        <u/>
        <sz val="10"/>
        <color rgb="FF1155CC"/>
        <rFont val="Arial"/>
      </rPr>
      <t>Paula Cardoso</t>
    </r>
  </si>
  <si>
    <r>
      <rPr>
        <u/>
        <sz val="11"/>
        <color rgb="FF1155CC"/>
        <rFont val="Roboto"/>
      </rPr>
      <t>Paula Santos</t>
    </r>
  </si>
  <si>
    <r>
      <rPr>
        <u/>
        <sz val="11"/>
        <color rgb="FF1155CC"/>
        <rFont val="Roboto"/>
      </rPr>
      <t>Paulo Cavaleiro</t>
    </r>
  </si>
  <si>
    <r>
      <rPr>
        <u/>
        <sz val="10"/>
        <color rgb="FF1155CC"/>
        <rFont val="Arial"/>
      </rPr>
      <t>Paulo Edson Cunha</t>
    </r>
  </si>
  <si>
    <r>
      <rPr>
        <u/>
        <sz val="10"/>
        <color rgb="FF1155CC"/>
        <rFont val="Arial"/>
      </rPr>
      <t>Paulo Lopes Marcelo</t>
    </r>
  </si>
  <si>
    <r>
      <rPr>
        <u/>
        <sz val="10"/>
        <color rgb="FF1155CC"/>
        <rFont val="Arial"/>
      </rPr>
      <t>Paulo Lopes Silva</t>
    </r>
  </si>
  <si>
    <r>
      <rPr>
        <u/>
        <sz val="10"/>
        <color rgb="FF1155CC"/>
        <rFont val="Arial"/>
      </rPr>
      <t>Paulo Moniz</t>
    </r>
  </si>
  <si>
    <r>
      <rPr>
        <u/>
        <sz val="10"/>
        <color rgb="FF1155CC"/>
        <rFont val="Arial"/>
      </rPr>
      <t>Paulo Muacho</t>
    </r>
  </si>
  <si>
    <r>
      <rPr>
        <u/>
        <sz val="10"/>
        <color rgb="FF1155CC"/>
        <rFont val="Arial"/>
      </rPr>
      <t>Paulo Neves</t>
    </r>
  </si>
  <si>
    <r>
      <rPr>
        <u/>
        <sz val="10"/>
        <color rgb="FF1155CC"/>
        <rFont val="Arial"/>
      </rPr>
      <t>Paulo Núncio</t>
    </r>
  </si>
  <si>
    <r>
      <rPr>
        <u/>
        <sz val="10"/>
        <color rgb="FF1155CC"/>
        <rFont val="Arial"/>
      </rPr>
      <t>Paulo Raimundo</t>
    </r>
  </si>
  <si>
    <r>
      <rPr>
        <u/>
        <sz val="10"/>
        <color rgb="FF1155CC"/>
        <rFont val="Arial"/>
      </rPr>
      <t>Paulo Seco</t>
    </r>
  </si>
  <si>
    <r>
      <rPr>
        <u/>
        <sz val="10"/>
        <color rgb="FF1155CC"/>
        <rFont val="Arial"/>
      </rPr>
      <t>Pedro Alves</t>
    </r>
  </si>
  <si>
    <r>
      <rPr>
        <u/>
        <sz val="10"/>
        <color rgb="FF1155CC"/>
        <rFont val="Arial"/>
      </rPr>
      <t>Pedro Coelho</t>
    </r>
  </si>
  <si>
    <r>
      <rPr>
        <u/>
        <sz val="11"/>
        <color rgb="FF1155CC"/>
        <rFont val="Roboto"/>
      </rPr>
      <t>Pedro Coimbra</t>
    </r>
  </si>
  <si>
    <r>
      <rPr>
        <u/>
        <sz val="11"/>
        <color rgb="FF1155CC"/>
        <rFont val="Roboto"/>
      </rPr>
      <t>Pedro Correia</t>
    </r>
  </si>
  <si>
    <r>
      <rPr>
        <u/>
        <sz val="11"/>
        <color rgb="FF1155CC"/>
        <rFont val="Roboto"/>
      </rPr>
      <t>Pedro Delgado Alves</t>
    </r>
  </si>
  <si>
    <r>
      <rPr>
        <u/>
        <sz val="11"/>
        <color rgb="FF1155CC"/>
        <rFont val="Roboto"/>
      </rPr>
      <t>Pedro do Carmo</t>
    </r>
  </si>
  <si>
    <r>
      <rPr>
        <u/>
        <sz val="11"/>
        <color rgb="FF1155CC"/>
        <rFont val="Roboto"/>
      </rPr>
      <t>Pedro dos Santos Frazão</t>
    </r>
  </si>
  <si>
    <r>
      <rPr>
        <u/>
        <sz val="11"/>
        <color rgb="FF1155CC"/>
        <rFont val="Roboto"/>
      </rPr>
      <t>Pedro Pessanha</t>
    </r>
  </si>
  <si>
    <r>
      <rPr>
        <u/>
        <sz val="11"/>
        <color rgb="FF1155CC"/>
        <rFont val="Roboto"/>
      </rPr>
      <t>Pedro Pinto</t>
    </r>
  </si>
  <si>
    <r>
      <rPr>
        <u/>
        <sz val="11"/>
        <color rgb="FF1155CC"/>
        <rFont val="Roboto"/>
      </rPr>
      <t>Pedro Roque</t>
    </r>
  </si>
  <si>
    <r>
      <rPr>
        <u/>
        <sz val="11"/>
        <color rgb="FF1155CC"/>
        <rFont val="Roboto"/>
      </rPr>
      <t>Pedro Soares Pimenta</t>
    </r>
  </si>
  <si>
    <r>
      <rPr>
        <u/>
        <sz val="11"/>
        <color rgb="FF1155CC"/>
        <rFont val="Roboto"/>
      </rPr>
      <t>Pedro Tavares</t>
    </r>
  </si>
  <si>
    <r>
      <rPr>
        <u/>
        <sz val="10"/>
        <color rgb="FF1155CC"/>
        <rFont val="Arial"/>
      </rPr>
      <t>Pedro Vaz</t>
    </r>
  </si>
  <si>
    <r>
      <rPr>
        <u/>
        <sz val="10"/>
        <color rgb="FF1155CC"/>
        <rFont val="Arial"/>
      </rPr>
      <t>Porfírio Silva</t>
    </r>
  </si>
  <si>
    <r>
      <rPr>
        <u/>
        <sz val="11"/>
        <color rgb="FF1155CC"/>
        <rFont val="Roboto"/>
      </rPr>
      <t>Raul Melo</t>
    </r>
  </si>
  <si>
    <t xml:space="preserve">CH
</t>
  </si>
  <si>
    <r>
      <rPr>
        <u/>
        <sz val="11"/>
        <color rgb="FF1155CC"/>
        <rFont val="Roboto"/>
      </rPr>
      <t>Regina Bastos</t>
    </r>
  </si>
  <si>
    <r>
      <rPr>
        <u/>
        <sz val="11"/>
        <color rgb="FF1155CC"/>
        <rFont val="Roboto"/>
      </rPr>
      <t>Ricardo Aires</t>
    </r>
  </si>
  <si>
    <r>
      <rPr>
        <u/>
        <sz val="11"/>
        <color rgb="FF1155CC"/>
        <rFont val="Roboto"/>
      </rPr>
      <t>Ricardo Barroso</t>
    </r>
  </si>
  <si>
    <r>
      <rPr>
        <u/>
        <sz val="11"/>
        <color rgb="FF1155CC"/>
        <rFont val="Roboto"/>
      </rPr>
      <t>Ricardo Carlos</t>
    </r>
  </si>
  <si>
    <r>
      <rPr>
        <u/>
        <sz val="11"/>
        <color rgb="FF1155CC"/>
        <rFont val="Roboto"/>
      </rPr>
      <t>Ricardo Carvalho</t>
    </r>
  </si>
  <si>
    <r>
      <rPr>
        <u/>
        <sz val="11"/>
        <color rgb="FF1155CC"/>
        <rFont val="Roboto"/>
      </rPr>
      <t>Ricardo Dias Pinto</t>
    </r>
  </si>
  <si>
    <r>
      <rPr>
        <u/>
        <sz val="11"/>
        <color rgb="FF1155CC"/>
        <rFont val="Roboto"/>
      </rPr>
      <t>Ricardo Lima</t>
    </r>
  </si>
  <si>
    <r>
      <rPr>
        <u/>
        <sz val="10"/>
        <color rgb="FF1155CC"/>
        <rFont val="Arial"/>
      </rPr>
      <t>Ricardo Lopes Reis</t>
    </r>
  </si>
  <si>
    <r>
      <rPr>
        <u/>
        <sz val="10"/>
        <color rgb="FF1155CC"/>
        <rFont val="Arial"/>
      </rPr>
      <t>Ricardo Moreira</t>
    </r>
  </si>
  <si>
    <r>
      <rPr>
        <u/>
        <sz val="10"/>
        <color rgb="FF1155CC"/>
        <rFont val="Arial"/>
      </rPr>
      <t>Ricardo Oliveira</t>
    </r>
  </si>
  <si>
    <r>
      <rPr>
        <u/>
        <sz val="10"/>
        <color rgb="FF1155CC"/>
        <rFont val="Arial"/>
      </rPr>
      <t>Rita Matias</t>
    </r>
  </si>
  <si>
    <r>
      <rPr>
        <u/>
        <sz val="10"/>
        <color rgb="FF1155CC"/>
        <rFont val="Arial"/>
      </rPr>
      <t>Rodrigo Alves Taxa</t>
    </r>
  </si>
  <si>
    <r>
      <rPr>
        <u/>
        <sz val="10"/>
        <color rgb="FF1155CC"/>
        <rFont val="Arial"/>
      </rPr>
      <t>Rodrigo Saraiva</t>
    </r>
  </si>
  <si>
    <r>
      <rPr>
        <u/>
        <sz val="10"/>
        <color rgb="FF1155CC"/>
        <rFont val="Arial"/>
      </rPr>
      <t>Rosa Isabel Cruz</t>
    </r>
  </si>
  <si>
    <r>
      <rPr>
        <u/>
        <sz val="10"/>
        <color rgb="FF1155CC"/>
        <rFont val="Arial"/>
      </rPr>
      <t>Rui Afonso</t>
    </r>
  </si>
  <si>
    <r>
      <rPr>
        <u/>
        <sz val="10"/>
        <color rgb="FF1155CC"/>
        <rFont val="Arial"/>
      </rPr>
      <t>Rui Cardoso</t>
    </r>
  </si>
  <si>
    <r>
      <rPr>
        <u/>
        <sz val="10"/>
        <color rgb="FF1155CC"/>
        <rFont val="Arial"/>
      </rPr>
      <t>Rui Fernandes</t>
    </r>
  </si>
  <si>
    <r>
      <rPr>
        <u/>
        <sz val="10"/>
        <color rgb="FF1155CC"/>
        <rFont val="Arial"/>
      </rPr>
      <t>Rui Jorge Santos</t>
    </r>
  </si>
  <si>
    <r>
      <rPr>
        <u/>
        <sz val="10"/>
        <color rgb="FF1155CC"/>
        <rFont val="Arial"/>
      </rPr>
      <t>Rui Paulo Sousa</t>
    </r>
  </si>
  <si>
    <r>
      <rPr>
        <u/>
        <sz val="10"/>
        <color rgb="FF1155CC"/>
        <rFont val="Arial"/>
      </rPr>
      <t>Rui Rocha</t>
    </r>
  </si>
  <si>
    <r>
      <rPr>
        <u/>
        <sz val="10"/>
        <color rgb="FF1155CC"/>
        <rFont val="Arial"/>
      </rPr>
      <t>Rui Rocha Pereira</t>
    </r>
  </si>
  <si>
    <r>
      <rPr>
        <u/>
        <sz val="10"/>
        <color rgb="FF1155CC"/>
        <rFont val="Arial"/>
      </rPr>
      <t>Rui Tavares</t>
    </r>
  </si>
  <si>
    <r>
      <rPr>
        <u/>
        <sz val="10"/>
        <color rgb="FF1155CC"/>
        <rFont val="Arial"/>
      </rPr>
      <t>Sandra Lopes</t>
    </r>
  </si>
  <si>
    <r>
      <rPr>
        <u/>
        <sz val="10"/>
        <color rgb="FF1155CC"/>
        <rFont val="Arial"/>
      </rPr>
      <t>Sandra Pereira</t>
    </r>
  </si>
  <si>
    <r>
      <rPr>
        <u/>
        <sz val="10"/>
        <color rgb="FF1155CC"/>
        <rFont val="Arial"/>
      </rPr>
      <t>Sandra Ribeiro</t>
    </r>
  </si>
  <si>
    <r>
      <rPr>
        <u/>
        <sz val="10"/>
        <color rgb="FF1155CC"/>
        <rFont val="Arial"/>
      </rPr>
      <t>Sofia Andrade</t>
    </r>
  </si>
  <si>
    <r>
      <rPr>
        <u/>
        <sz val="10"/>
        <color rgb="FF1155CC"/>
        <rFont val="Arial"/>
      </rPr>
      <t>Sofia Machado Fernandes</t>
    </r>
  </si>
  <si>
    <r>
      <rPr>
        <u/>
        <sz val="11"/>
        <color rgb="FF1155CC"/>
        <rFont val="Roboto"/>
      </rPr>
      <t>Sofia Pereira</t>
    </r>
  </si>
  <si>
    <r>
      <rPr>
        <u/>
        <sz val="11"/>
        <color rgb="FF1155CC"/>
        <rFont val="Roboto"/>
      </rPr>
      <t>Sonia dos Reis</t>
    </r>
  </si>
  <si>
    <r>
      <rPr>
        <u/>
        <sz val="11"/>
        <color rgb="FF1155CC"/>
        <rFont val="Roboto"/>
      </rPr>
      <t>Sónia Margarida Fernandes</t>
    </r>
  </si>
  <si>
    <r>
      <rPr>
        <u/>
        <sz val="11"/>
        <color rgb="FF1155CC"/>
        <rFont val="Roboto"/>
      </rPr>
      <t>Sónia Monteiro</t>
    </r>
  </si>
  <si>
    <r>
      <rPr>
        <u/>
        <sz val="11"/>
        <color rgb="FF1155CC"/>
        <rFont val="Roboto"/>
      </rPr>
      <t>Susana Correia</t>
    </r>
  </si>
  <si>
    <r>
      <rPr>
        <u/>
        <sz val="11"/>
        <color rgb="FF1155CC"/>
        <rFont val="Roboto"/>
      </rPr>
      <t>Teresa Morais</t>
    </r>
  </si>
  <si>
    <r>
      <rPr>
        <u/>
        <sz val="11"/>
        <color rgb="FF1155CC"/>
        <rFont val="Roboto"/>
      </rPr>
      <t>Tiago Barbosa Ribeiro</t>
    </r>
  </si>
  <si>
    <r>
      <rPr>
        <u/>
        <sz val="11"/>
        <color rgb="FF1155CC"/>
        <rFont val="Roboto"/>
      </rPr>
      <t>Vanessa Barata</t>
    </r>
  </si>
  <si>
    <r>
      <rPr>
        <u/>
        <sz val="11"/>
        <color rgb="FF1155CC"/>
        <rFont val="Roboto"/>
      </rPr>
      <t>Vânia Jesus</t>
    </r>
  </si>
  <si>
    <r>
      <rPr>
        <u/>
        <sz val="11"/>
        <color rgb="FF1155CC"/>
        <rFont val="Roboto"/>
      </rPr>
      <t>Vítor Guerreiro</t>
    </r>
  </si>
  <si>
    <t xml:space="preserve">35,65% dos deputados sao mulheres
I - Diminuiçao II - 82 III - 85 </t>
  </si>
  <si>
    <t>Rótulos de Linha</t>
  </si>
  <si>
    <t>Total Geral</t>
  </si>
  <si>
    <t>Ana Martins</t>
  </si>
  <si>
    <t>Francisco César</t>
  </si>
  <si>
    <t>Francisco Pimentel</t>
  </si>
  <si>
    <t>Nuna Menezes</t>
  </si>
  <si>
    <t>Paulo Moniz</t>
  </si>
  <si>
    <t>Almiro Moreira</t>
  </si>
  <si>
    <t>Armando Grave</t>
  </si>
  <si>
    <t>Carolina Marques</t>
  </si>
  <si>
    <t>Filipe Neto Brandão</t>
  </si>
  <si>
    <t>Firmino Ferreira</t>
  </si>
  <si>
    <t>Helga Correia</t>
  </si>
  <si>
    <t>Hugo Oliveira</t>
  </si>
  <si>
    <t>Lia Ferreira</t>
  </si>
  <si>
    <t>Maria José Aguiar</t>
  </si>
  <si>
    <t>Mário Amorim Lopes</t>
  </si>
  <si>
    <t>Paula Cardoso</t>
  </si>
  <si>
    <t>Paulo Cavaleiro</t>
  </si>
  <si>
    <t>Pedro dos Santos Frazão</t>
  </si>
  <si>
    <t>Pedro Tavares</t>
  </si>
  <si>
    <t>Susana Correia</t>
  </si>
  <si>
    <t>António Carneiro</t>
  </si>
  <si>
    <t>Gonçalo Valente</t>
  </si>
  <si>
    <t>Pedro do Carmo</t>
  </si>
  <si>
    <t>Carlos Barbosa</t>
  </si>
  <si>
    <t>Carlos Cação</t>
  </si>
  <si>
    <t>Emídio Guerreiro</t>
  </si>
  <si>
    <t>Filipe Melo</t>
  </si>
  <si>
    <t>Hernâni Loureiro</t>
  </si>
  <si>
    <t>Hugo Soares</t>
  </si>
  <si>
    <t>Irene Costa</t>
  </si>
  <si>
    <t>Joaquim Barbosa</t>
  </si>
  <si>
    <t>José Luís Carneiro</t>
  </si>
  <si>
    <t>Leandro Ferreira Luís</t>
  </si>
  <si>
    <t>Lina Pinheiro</t>
  </si>
  <si>
    <t>Paulo Lopes Silva</t>
  </si>
  <si>
    <t>Ricardo Barroso</t>
  </si>
  <si>
    <t>Rodrigo Alves Taxa</t>
  </si>
  <si>
    <t>Rui Rocha</t>
  </si>
  <si>
    <t>Sandra Lopes</t>
  </si>
  <si>
    <t>Sofia Machado Fernandes</t>
  </si>
  <si>
    <t>Sónia Margarida Fernandes</t>
  </si>
  <si>
    <t>Vanessa Barata</t>
  </si>
  <si>
    <t>Hernâni Dias</t>
  </si>
  <si>
    <t>Júlia Rodrigues</t>
  </si>
  <si>
    <t>Nuno Jorge Gonçalves</t>
  </si>
  <si>
    <t>João Ribeiro</t>
  </si>
  <si>
    <t>Leonor Cipriano</t>
  </si>
  <si>
    <t>Nuno Fazenda</t>
  </si>
  <si>
    <t>Ricardo Aires</t>
  </si>
  <si>
    <t>Ana Oliveira</t>
  </si>
  <si>
    <t>Eliseu Neves</t>
  </si>
  <si>
    <t>Joana Seabra</t>
  </si>
  <si>
    <t>Martim Syder</t>
  </si>
  <si>
    <t>Maurício Marques</t>
  </si>
  <si>
    <t>Paulo Seco</t>
  </si>
  <si>
    <t>Pedro Coimbra</t>
  </si>
  <si>
    <t>Pedro Delgado Alves</t>
  </si>
  <si>
    <t>Rosa Isabel Cruz</t>
  </si>
  <si>
    <t>Carlos Alberto Gonçalves</t>
  </si>
  <si>
    <t>José Dias Fernandes</t>
  </si>
  <si>
    <t>Francisco Figueira</t>
  </si>
  <si>
    <t>Jorge Galveias</t>
  </si>
  <si>
    <t>Luís Dias</t>
  </si>
  <si>
    <t>Bárbara do Amaral Correia</t>
  </si>
  <si>
    <t>Cristóvão Norte</t>
  </si>
  <si>
    <t>João Paulo Graça</t>
  </si>
  <si>
    <t>Luís Graça</t>
  </si>
  <si>
    <t>Miguel Santos</t>
  </si>
  <si>
    <t>Pedro Pinto</t>
  </si>
  <si>
    <t>Ricardo Moreira</t>
  </si>
  <si>
    <t>Sandra Ribeiro</t>
  </si>
  <si>
    <t>Vítor Guerreiro</t>
  </si>
  <si>
    <t>José Cesário</t>
  </si>
  <si>
    <t>Manuel Magno</t>
  </si>
  <si>
    <t>Aida Carvalho</t>
  </si>
  <si>
    <t>Dulcineia Catarina Moura</t>
  </si>
  <si>
    <t>Nuno Simões de Melo</t>
  </si>
  <si>
    <t>Catarina Louro</t>
  </si>
  <si>
    <t>Célia Freire</t>
  </si>
  <si>
    <t>Cristina Vieira Henriques</t>
  </si>
  <si>
    <t>Eurico Brilhante Dias</t>
  </si>
  <si>
    <t>Hugo Patrício Oliveira</t>
  </si>
  <si>
    <t>João Antunes dos Santos</t>
  </si>
  <si>
    <t>Liliana Sousa</t>
  </si>
  <si>
    <t>Luís Paulo Fernandes</t>
  </si>
  <si>
    <t>Ricardo Carvalho</t>
  </si>
  <si>
    <t>Rui Fernandes</t>
  </si>
  <si>
    <t>Alexandre Poço</t>
  </si>
  <si>
    <t>Ana Bernardo</t>
  </si>
  <si>
    <t>André Rijo</t>
  </si>
  <si>
    <t>André Ventura</t>
  </si>
  <si>
    <t>Angélique Da Teresa</t>
  </si>
  <si>
    <t>António Rodrigues</t>
  </si>
  <si>
    <t>Bruno Nunes</t>
  </si>
  <si>
    <t>Bruno Ventura</t>
  </si>
  <si>
    <t>Davide Amado</t>
  </si>
  <si>
    <t>Edite Estrela</t>
  </si>
  <si>
    <t>Eva Brás Pinho</t>
  </si>
  <si>
    <t>Eva Cruzeiro</t>
  </si>
  <si>
    <t>Fabian Figueiredo</t>
  </si>
  <si>
    <t>Francisco José Martins</t>
  </si>
  <si>
    <t>Frederico Francisco</t>
  </si>
  <si>
    <t>Gonçalo Lage</t>
  </si>
  <si>
    <t>Inês de Sousa Real</t>
  </si>
  <si>
    <t>Isabel Alves Moreira</t>
  </si>
  <si>
    <t>Isabel Mendes Lopes</t>
  </si>
  <si>
    <t>João Pedro Louro</t>
  </si>
  <si>
    <t>Jorge Miguel Teixeira</t>
  </si>
  <si>
    <t>José Barreira Soares</t>
  </si>
  <si>
    <t>Madalena Cordeiro</t>
  </si>
  <si>
    <t>Marco Claudino</t>
  </si>
  <si>
    <t>Margarida Saavedra</t>
  </si>
  <si>
    <t>Mariana Leitão</t>
  </si>
  <si>
    <t>Mariana Vieira da Silva</t>
  </si>
  <si>
    <t>Marta Martins da Silva</t>
  </si>
  <si>
    <t>Miguel Cabrita</t>
  </si>
  <si>
    <t>Miguel Matos</t>
  </si>
  <si>
    <t>Patrícia Almeida</t>
  </si>
  <si>
    <t>Patrícia Gonçalves</t>
  </si>
  <si>
    <t>Paulo Lopes Marcelo</t>
  </si>
  <si>
    <t>Paulo Núncio</t>
  </si>
  <si>
    <t>Paulo Raimundo</t>
  </si>
  <si>
    <t>Pedro Pessanha</t>
  </si>
  <si>
    <t>Pedro Soares Pimenta</t>
  </si>
  <si>
    <t>Pedro Vaz</t>
  </si>
  <si>
    <t>Regina Bastos</t>
  </si>
  <si>
    <t>Ricardo Dias Pinto</t>
  </si>
  <si>
    <t>Ricardo Lima</t>
  </si>
  <si>
    <t>Rodrigo Saraiva</t>
  </si>
  <si>
    <t>Rui Cardoso</t>
  </si>
  <si>
    <t>Rui Paulo Sousa</t>
  </si>
  <si>
    <t>Rui Tavares</t>
  </si>
  <si>
    <t>Sandra Pereira</t>
  </si>
  <si>
    <t>Liliana Fidalgo</t>
  </si>
  <si>
    <t>Emanuel Câmara</t>
  </si>
  <si>
    <t>Filipe Sousa</t>
  </si>
  <si>
    <t>Francisco Gomes</t>
  </si>
  <si>
    <t>Paulo Neves</t>
  </si>
  <si>
    <t>Pedro Coelho</t>
  </si>
  <si>
    <t>Vânia Jesus</t>
  </si>
  <si>
    <t>João Lopes Aleixo</t>
  </si>
  <si>
    <t>Luís Moreira Testa</t>
  </si>
  <si>
    <t>Alberto Fonseca</t>
  </si>
  <si>
    <t>Alberto Machado</t>
  </si>
  <si>
    <t>Alfredo Maia</t>
  </si>
  <si>
    <t>Ana Gabriela Cabilhas</t>
  </si>
  <si>
    <t>Ana Isabel Ferreira</t>
  </si>
  <si>
    <t>Andreia Neto</t>
  </si>
  <si>
    <t>Carla Barros</t>
  </si>
  <si>
    <t>Carlos Guimarães Pinto</t>
  </si>
  <si>
    <t>Cristina Rodrigues</t>
  </si>
  <si>
    <t>Dália Miranda</t>
  </si>
  <si>
    <t>Diogo Pacheco de Amorim</t>
  </si>
  <si>
    <t>Eduardo Pinheiro</t>
  </si>
  <si>
    <t>Filipa Pinto</t>
  </si>
  <si>
    <t>Francisco Covelinhas Lopes</t>
  </si>
  <si>
    <t>Francisco Sousa Vieira</t>
  </si>
  <si>
    <t>Germana Rocha</t>
  </si>
  <si>
    <t>Gonçalo Dinis Capitão</t>
  </si>
  <si>
    <t>Hugo Carneiro</t>
  </si>
  <si>
    <t>Humberto Brito</t>
  </si>
  <si>
    <t>Idalina Durães</t>
  </si>
  <si>
    <t>Joana Lima</t>
  </si>
  <si>
    <t>João Torres</t>
  </si>
  <si>
    <t>Jorge Pinto</t>
  </si>
  <si>
    <t>José Carlos Barbosa</t>
  </si>
  <si>
    <t>José Carvalho</t>
  </si>
  <si>
    <t>Marcus Santos</t>
  </si>
  <si>
    <t>Miguel Guimarães</t>
  </si>
  <si>
    <t>Miguel Rangel</t>
  </si>
  <si>
    <t>Olga Freire</t>
  </si>
  <si>
    <t>Patrícia Faro</t>
  </si>
  <si>
    <t>Patrícia Nascimento</t>
  </si>
  <si>
    <t>Porfírio Silva</t>
  </si>
  <si>
    <t>Raul Melo</t>
  </si>
  <si>
    <t>Rui Afonso</t>
  </si>
  <si>
    <t>Rui Rocha Pereira</t>
  </si>
  <si>
    <t>Sofia Andrade</t>
  </si>
  <si>
    <t>Sofia Pereira</t>
  </si>
  <si>
    <t>Sónia Monteiro</t>
  </si>
  <si>
    <t>Tiago Barbosa Ribeiro</t>
  </si>
  <si>
    <t>Catarina Salgueiro</t>
  </si>
  <si>
    <t>Hugo Costa</t>
  </si>
  <si>
    <t>Inês Barroso</t>
  </si>
  <si>
    <t>Isaura Morais</t>
  </si>
  <si>
    <t>José Dotti</t>
  </si>
  <si>
    <t>Marcos Perestrello</t>
  </si>
  <si>
    <t>Pedro Correia</t>
  </si>
  <si>
    <t>Ricardo Carlos</t>
  </si>
  <si>
    <t>Ricardo Oliveira</t>
  </si>
  <si>
    <t>André Pinotes Batista</t>
  </si>
  <si>
    <t>António Mendonça Mendes</t>
  </si>
  <si>
    <t>Bruno Vitorino</t>
  </si>
  <si>
    <t>Carlos Pereira</t>
  </si>
  <si>
    <t>Cláudia Estêvão</t>
  </si>
  <si>
    <t>Daniel Teixeira</t>
  </si>
  <si>
    <t>Eurídice Pereira</t>
  </si>
  <si>
    <t>Joana Cordeiro</t>
  </si>
  <si>
    <t>Margarida Afonso</t>
  </si>
  <si>
    <t>Nuno Gabriel</t>
  </si>
  <si>
    <t>Patrícia Carvalho</t>
  </si>
  <si>
    <t>Paula Santos</t>
  </si>
  <si>
    <t>Paulo Edson Cunha</t>
  </si>
  <si>
    <t>Paulo Muacho</t>
  </si>
  <si>
    <t>Pedro Roque</t>
  </si>
  <si>
    <t>Ricardo Lopes Reis</t>
  </si>
  <si>
    <t>Rita Matias</t>
  </si>
  <si>
    <t>Sonia dos Reis</t>
  </si>
  <si>
    <t>Teresa Morais</t>
  </si>
  <si>
    <t>Eduardo Teixeira</t>
  </si>
  <si>
    <t>José Lago Gonçalves</t>
  </si>
  <si>
    <t>José Pedro Aguiar-Branco</t>
  </si>
  <si>
    <t>Manuela Carvalho</t>
  </si>
  <si>
    <t>Marina Gonçalves</t>
  </si>
  <si>
    <t>Amílcar Almeida</t>
  </si>
  <si>
    <t>Ana Silveira</t>
  </si>
  <si>
    <t>Fernando Queiroga</t>
  </si>
  <si>
    <t>Manuela Tender</t>
  </si>
  <si>
    <t>Rui Jorge Santos</t>
  </si>
  <si>
    <t>Armando Mourisco</t>
  </si>
  <si>
    <t>Bernardo Pessanha</t>
  </si>
  <si>
    <t>Bruno Faria</t>
  </si>
  <si>
    <t>Carlos Silva Santiago</t>
  </si>
  <si>
    <t>Elza Pais</t>
  </si>
  <si>
    <t>Isabel Fernandes</t>
  </si>
  <si>
    <t>João Tilly</t>
  </si>
  <si>
    <t>Pedro Alves</t>
  </si>
  <si>
    <t>Contagem de Nome</t>
  </si>
  <si>
    <t xml:space="preserve"> HOMEM</t>
  </si>
  <si>
    <t>MULHER</t>
  </si>
  <si>
    <t>Soma de  HOMEM</t>
  </si>
  <si>
    <t>Soma de MULHER</t>
  </si>
  <si>
    <t>Media</t>
  </si>
  <si>
    <t>Mediana</t>
  </si>
  <si>
    <t>Desvio padrao</t>
  </si>
  <si>
    <t>Max</t>
  </si>
  <si>
    <t>Min</t>
  </si>
  <si>
    <t>Moda</t>
  </si>
  <si>
    <t>aleatorio</t>
  </si>
  <si>
    <t>Amostra</t>
  </si>
  <si>
    <t>1/15</t>
  </si>
  <si>
    <t>4/15</t>
  </si>
  <si>
    <t>6/15</t>
  </si>
  <si>
    <t>IDD media</t>
  </si>
  <si>
    <t>2/3</t>
  </si>
  <si>
    <t>1/3</t>
  </si>
  <si>
    <t>2- Nao é o esperado</t>
  </si>
  <si>
    <t>3- Formadora porque eu iria repetir a mesma coisa so que com 10 valores ao inves de 15?</t>
  </si>
  <si>
    <t>4- obviamente por ser aleatorio os resultado tendem a ser imprecisos, para tentar trazer algo proxima a realidade seria juntando tudo e tentar tirar o media dos resultados, mas sinceramente mais vale aumentar o espaço amostral ou evitar de repetir nomes.Outra maneira seria fazendo varias repeticoes de amostras aleatorias.Pode fazer tambem uma media ponderada.</t>
  </si>
  <si>
    <t>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</si>
</sst>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Roboto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00"/>
      <name val="Roboto"/>
    </font>
    <font>
      <sz val="11"/>
      <color rgb="FF000000"/>
      <name val="Calibri"/>
    </font>
    <font>
      <u/>
      <sz val="10"/>
      <color rgb="FF1155CC"/>
      <name val="Arial"/>
    </font>
    <font>
      <sz val="11"/>
      <color theme="1"/>
      <name val="Roboto"/>
    </font>
    <font>
      <u/>
      <sz val="11"/>
      <color rgb="FF1155CC"/>
      <name val="Roboto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0"/>
      <name val="Arial"/>
      <family val="2"/>
      <scheme val="minor"/>
    </font>
    <font>
      <b/>
      <sz val="10"/>
      <color theme="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7" fillId="8" borderId="0" applyNumberFormat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 applyAlignment="1">
      <alignment horizontal="right"/>
    </xf>
    <xf numFmtId="0" fontId="9" fillId="0" borderId="0" xfId="0" applyFont="1"/>
    <xf numFmtId="0" fontId="10" fillId="2" borderId="0" xfId="0" applyFont="1" applyFill="1"/>
    <xf numFmtId="0" fontId="4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12" fillId="5" borderId="0" xfId="1"/>
    <xf numFmtId="0" fontId="14" fillId="7" borderId="0" xfId="3"/>
    <xf numFmtId="0" fontId="13" fillId="6" borderId="0" xfId="2"/>
    <xf numFmtId="0" fontId="13" fillId="6" borderId="0" xfId="2" applyAlignment="1">
      <alignment horizontal="right"/>
    </xf>
    <xf numFmtId="0" fontId="13" fillId="6" borderId="0" xfId="2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9" borderId="2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18" fillId="10" borderId="2" xfId="0" applyFont="1" applyFill="1" applyBorder="1"/>
    <xf numFmtId="0" fontId="18" fillId="10" borderId="3" xfId="0" applyFont="1" applyFill="1" applyBorder="1"/>
    <xf numFmtId="0" fontId="18" fillId="10" borderId="4" xfId="0" applyFont="1" applyFill="1" applyBorder="1"/>
    <xf numFmtId="0" fontId="17" fillId="8" borderId="0" xfId="4"/>
    <xf numFmtId="0" fontId="20" fillId="10" borderId="3" xfId="0" applyFont="1" applyFill="1" applyBorder="1"/>
    <xf numFmtId="0" fontId="19" fillId="0" borderId="0" xfId="0" applyFont="1"/>
    <xf numFmtId="0" fontId="21" fillId="0" borderId="2" xfId="0" applyFont="1" applyBorder="1"/>
    <xf numFmtId="0" fontId="21" fillId="0" borderId="3" xfId="0" applyFont="1" applyBorder="1"/>
    <xf numFmtId="0" fontId="21" fillId="9" borderId="2" xfId="0" applyFont="1" applyFill="1" applyBorder="1"/>
    <xf numFmtId="0" fontId="21" fillId="9" borderId="3" xfId="0" applyFont="1" applyFill="1" applyBorder="1"/>
    <xf numFmtId="0" fontId="17" fillId="8" borderId="0" xfId="4" quotePrefix="1"/>
    <xf numFmtId="17" fontId="17" fillId="8" borderId="0" xfId="4" quotePrefix="1" applyNumberFormat="1"/>
    <xf numFmtId="16" fontId="17" fillId="8" borderId="0" xfId="4" quotePrefix="1" applyNumberFormat="1"/>
    <xf numFmtId="9" fontId="17" fillId="8" borderId="0" xfId="4" applyNumberFormat="1"/>
    <xf numFmtId="0" fontId="0" fillId="0" borderId="0" xfId="0" quotePrefix="1"/>
    <xf numFmtId="10" fontId="17" fillId="8" borderId="0" xfId="4" applyNumberFormat="1"/>
    <xf numFmtId="9" fontId="17" fillId="8" borderId="0" xfId="4" quotePrefix="1" applyNumberFormat="1"/>
  </cellXfs>
  <cellStyles count="5">
    <cellStyle name="Bom" xfId="1" builtinId="26"/>
    <cellStyle name="Ênfase4" xfId="4" builtinId="41"/>
    <cellStyle name="Neutro" xfId="3" builtinId="28"/>
    <cellStyle name="Normal" xfId="0" builtinId="0"/>
    <cellStyle name="Ruim" xfId="2" builtinId="27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[Tarefa 0 1 (1).xlsx]Planilha5!Tabela dinâmica5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364720034995624E-2"/>
          <c:y val="8.0186092618251048E-2"/>
          <c:w val="0.7668047353455818"/>
          <c:h val="0.792449055456050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Planilha5!$B$3</c:f>
              <c:strCache>
                <c:ptCount val="1"/>
                <c:pt idx="0">
                  <c:v>Soma de  HOMEM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Planilha5!$A$4:$A$15</c:f>
              <c:strCache>
                <c:ptCount val="11"/>
                <c:pt idx="0">
                  <c:v>BE</c:v>
                </c:pt>
                <c:pt idx="1">
                  <c:v>CDS-PP</c:v>
                </c:pt>
                <c:pt idx="2">
                  <c:v>CH</c:v>
                </c:pt>
                <c:pt idx="3">
                  <c:v>CH
</c:v>
                </c:pt>
                <c:pt idx="4">
                  <c:v>IL</c:v>
                </c:pt>
                <c:pt idx="5">
                  <c:v>JPP</c:v>
                </c:pt>
                <c:pt idx="6">
                  <c:v>L</c:v>
                </c:pt>
                <c:pt idx="7">
                  <c:v>PAN</c:v>
                </c:pt>
                <c:pt idx="8">
                  <c:v>PCP</c:v>
                </c:pt>
                <c:pt idx="9">
                  <c:v>PS</c:v>
                </c:pt>
                <c:pt idx="10">
                  <c:v>PSD</c:v>
                </c:pt>
              </c:strCache>
            </c:strRef>
          </c:cat>
          <c:val>
            <c:numRef>
              <c:f>Planilha5!$B$4:$B$15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40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3</c:v>
                </c:pt>
                <c:pt idx="8">
                  <c:v>2</c:v>
                </c:pt>
                <c:pt idx="9">
                  <c:v>36</c:v>
                </c:pt>
                <c:pt idx="1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B-4DAD-8A13-7C8FFBABB8AA}"/>
            </c:ext>
          </c:extLst>
        </c:ser>
        <c:ser>
          <c:idx val="1"/>
          <c:order val="1"/>
          <c:tx>
            <c:strRef>
              <c:f>Planilha5!$C$3</c:f>
              <c:strCache>
                <c:ptCount val="1"/>
                <c:pt idx="0">
                  <c:v>Soma de MULHER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Planilha5!$A$4:$A$15</c:f>
              <c:strCache>
                <c:ptCount val="11"/>
                <c:pt idx="0">
                  <c:v>BE</c:v>
                </c:pt>
                <c:pt idx="1">
                  <c:v>CDS-PP</c:v>
                </c:pt>
                <c:pt idx="2">
                  <c:v>CH</c:v>
                </c:pt>
                <c:pt idx="3">
                  <c:v>CH
</c:v>
                </c:pt>
                <c:pt idx="4">
                  <c:v>IL</c:v>
                </c:pt>
                <c:pt idx="5">
                  <c:v>JPP</c:v>
                </c:pt>
                <c:pt idx="6">
                  <c:v>L</c:v>
                </c:pt>
                <c:pt idx="7">
                  <c:v>PAN</c:v>
                </c:pt>
                <c:pt idx="8">
                  <c:v>PCP</c:v>
                </c:pt>
                <c:pt idx="9">
                  <c:v>PS</c:v>
                </c:pt>
                <c:pt idx="10">
                  <c:v>PSD</c:v>
                </c:pt>
              </c:strCache>
            </c:strRef>
          </c:cat>
          <c:val>
            <c:numRef>
              <c:f>Planilha5!$C$4:$C$15</c:f>
              <c:numCache>
                <c:formatCode>General</c:formatCode>
                <c:ptCount val="11"/>
                <c:pt idx="2">
                  <c:v>19</c:v>
                </c:pt>
                <c:pt idx="4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22</c:v>
                </c:pt>
                <c:pt idx="1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B-4DAD-8A13-7C8FFBAB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306632"/>
        <c:axId val="508306992"/>
      </c:barChart>
      <c:catAx>
        <c:axId val="50830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306992"/>
        <c:crosses val="autoZero"/>
        <c:auto val="1"/>
        <c:lblAlgn val="ctr"/>
        <c:lblOffset val="100"/>
        <c:noMultiLvlLbl val="0"/>
      </c:catAx>
      <c:valAx>
        <c:axId val="50830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30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1171574</xdr:colOff>
      <xdr:row>1</xdr:row>
      <xdr:rowOff>161924</xdr:rowOff>
    </xdr:from>
    <xdr:to>
      <xdr:col>15</xdr:col>
      <xdr:colOff>438149</xdr:colOff>
      <xdr:row>32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960894-9D7E-F8EB-2C0C-84569E0B1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da" refreshedDate="46134.311241087962" createdVersion="8" refreshedVersion="8" minRefreshableVersion="3" recordCount="230" xr:uid="{7A6A4AD3-6B6D-4570-82CC-EFE99F962A84}">
  <cacheSource type="worksheet">
    <worksheetSource ref="B1:F231" sheet="Página1"/>
  </cacheSource>
  <cacheFields count="5">
    <cacheField name="Nome" numFmtId="0">
      <sharedItems count="230">
        <s v="Adriana Rodrigues"/>
        <s v="Aida Carvalho"/>
        <s v="Alberto Fonseca"/>
        <s v="Alberto Machado"/>
        <s v="Alexandre Poço"/>
        <s v="Alfredo Maia"/>
        <s v="Almiro Moreira"/>
        <s v="Amílcar Almeida"/>
        <s v="Ana Bernardo"/>
        <s v="Ana Gabriela Cabilhas"/>
        <s v="Ana Isabel Ferreira"/>
        <s v="Ana Martins"/>
        <s v="Ana Oliveira"/>
        <s v="Ana Silveira"/>
        <s v="André Pinotes Batista"/>
        <s v="André Rijo"/>
        <s v="André Ventura"/>
        <s v="Andreia Neto"/>
        <s v="Angélique Da Teresa"/>
        <s v="António Carneiro"/>
        <s v="António Mendonça Mendes"/>
        <s v="António Rodrigues"/>
        <s v="Armando Grave"/>
        <s v="Armando Mourisco"/>
        <s v="Bárbara do Amaral Correia"/>
        <s v="Bernardo Pessanha"/>
        <s v="Bruno Faria"/>
        <s v="Bruno Nunes"/>
        <s v="Bruno Ventura"/>
        <s v="Bruno Vitorino"/>
        <s v="Carla Barros"/>
        <s v="Carlos Alberto Gonçalves"/>
        <s v="Carlos Barbosa"/>
        <s v="Carlos Cação"/>
        <s v="Carlos Guimarães Pinto"/>
        <s v="Carlos Pereira"/>
        <s v="Carlos Silva Santiago"/>
        <s v="Carolina Marques"/>
        <s v="Catarina Louro"/>
        <s v="Catarina Salgueiro"/>
        <s v="Célia Freire"/>
        <s v="Cláudia Estêvão"/>
        <s v="Cristina Rodrigues"/>
        <s v="Cristina Vieira Henriques"/>
        <s v="Cristóvão Norte"/>
        <s v="Dália Miranda"/>
        <s v="Daniel Teixeira"/>
        <s v="Davide Amado"/>
        <s v="Diogo Pacheco de Amorim"/>
        <s v="Dulcineia Catarina Moura"/>
        <s v="Edite Estrela"/>
        <s v="Eduardo Pinheiro"/>
        <s v="Eduardo Teixeira"/>
        <s v="Eliseu Neves"/>
        <s v="Elza Pais"/>
        <s v="Emanuel Câmara"/>
        <s v="Emídio Guerreiro"/>
        <s v="Eurico Brilhante Dias"/>
        <s v="Eurídice Pereira"/>
        <s v="Eva Brás Pinho"/>
        <s v="Eva Cruzeiro"/>
        <s v="Fabian Figueiredo"/>
        <s v="Felicidade Vital"/>
        <s v="Fernando Queiroga"/>
        <s v="Filipa Pinto"/>
        <s v="Filipe Melo"/>
        <s v="Filipe Neto Brandão"/>
        <s v="Filipe Sousa"/>
        <s v="Firmino Ferreira"/>
        <s v="Francisco César"/>
        <s v="Francisco Covelinhas Lopes"/>
        <s v="Francisco Figueira"/>
        <s v="Francisco Gomes"/>
        <s v="Francisco José Martins"/>
        <s v="Francisco Pimentel"/>
        <s v="Francisco Sousa Vieira"/>
        <s v="Frederico Francisco"/>
        <s v="Germana Rocha"/>
        <s v="Gonçalo Dinis Capitão"/>
        <s v="Gonçalo Lage"/>
        <s v="Gonçalo Valente"/>
        <s v="Helga Correia"/>
        <s v="Hernâni Dias"/>
        <s v="Hernâni Loureiro"/>
        <s v="Hugo Carneiro"/>
        <s v="Hugo Costa"/>
        <s v="Hugo Oliveira"/>
        <s v="Hugo Patrício Oliveira"/>
        <s v="Hugo Soares"/>
        <s v="Humberto Brito"/>
        <s v="Idalina Durães"/>
        <s v="Inês Barroso"/>
        <s v="Inês de Sousa Real"/>
        <s v="Irene Costa"/>
        <s v="Isabel Alves Moreira"/>
        <s v="Isabel Fernandes"/>
        <s v="Isabel Mendes Lopes"/>
        <s v="Isaura Morais"/>
        <s v="Joana Cordeiro"/>
        <s v="Joana Lima"/>
        <s v="Joana Seabra"/>
        <s v="João Antunes dos Santos"/>
        <s v="João Lopes Aleixo"/>
        <s v="João Paulo Graça"/>
        <s v="João Pedro Louro"/>
        <s v="João Pinho de Almeida"/>
        <s v="João Ribeiro"/>
        <s v="João Tilly"/>
        <s v="João Torres"/>
        <s v="Joaquim Barbosa"/>
        <s v="Jorge Galveias"/>
        <s v="Jorge Miguel Teixeira"/>
        <s v="Jorge Pinto"/>
        <s v="José Barreira Soares"/>
        <s v="José Carlos Barbosa"/>
        <s v="José Carvalho"/>
        <s v="José Cesário"/>
        <s v="José Dias Fernandes"/>
        <s v="José Dotti"/>
        <s v="José Lago Gonçalves"/>
        <s v="José Luís Carneiro"/>
        <s v="José Pedro Aguiar-Branco"/>
        <s v="Júlia Rodrigues"/>
        <s v="Leandro Ferreira Luís"/>
        <s v="Leonor Cipriano"/>
        <s v="Lia Ferreira"/>
        <s v="Liliana Fidalgo"/>
        <s v="Liliana Sousa"/>
        <s v="Lina Pinheiro"/>
        <s v="Luís Dias"/>
        <s v="Luís Graça"/>
        <s v="Luís Moreira Testa"/>
        <s v="Luís Paulo Fernandes"/>
        <s v="Madalena Cordeiro"/>
        <s v="Manuel Magno"/>
        <s v="Manuela Carvalho"/>
        <s v="Manuela Tender"/>
        <s v="Marco Claudino"/>
        <s v="Marcos Perestrello"/>
        <s v="Marcus Santos"/>
        <s v="Margarida Afonso"/>
        <s v="Margarida Saavedra"/>
        <s v="Maria José Aguiar"/>
        <s v="Mariana Leitão"/>
        <s v="Mariana Vieira da Silva"/>
        <s v="Marina Gonçalves"/>
        <s v="Mário Amorim Lopes"/>
        <s v="Marta Martins da Silva"/>
        <s v="Martim Syder"/>
        <s v="Maurício Marques"/>
        <s v="Miguel Cabrita"/>
        <s v="Miguel Guimarães"/>
        <s v="Miguel Matos"/>
        <s v="Miguel Rangel"/>
        <s v="Miguel Santos"/>
        <s v="Nuna Menezes"/>
        <s v="Nuno Fazenda"/>
        <s v="Nuno Gabriel"/>
        <s v="Nuno Jorge Gonçalves"/>
        <s v="Nuno Simões de Melo"/>
        <s v="Olga Freire"/>
        <s v="Patrícia Almeida"/>
        <s v="Patrícia Carvalho"/>
        <s v="Patrícia Faro"/>
        <s v="Patrícia Gonçalves"/>
        <s v="Patrícia Nascimento"/>
        <s v="Paula Cardoso"/>
        <s v="Paula Santos"/>
        <s v="Paulo Cavaleiro"/>
        <s v="Paulo Edson Cunha"/>
        <s v="Paulo Lopes Marcelo"/>
        <s v="Paulo Lopes Silva"/>
        <s v="Paulo Moniz"/>
        <s v="Paulo Muacho"/>
        <s v="Paulo Neves"/>
        <s v="Paulo Núncio"/>
        <s v="Paulo Raimundo"/>
        <s v="Paulo Seco"/>
        <s v="Pedro Alves"/>
        <s v="Pedro Coelho"/>
        <s v="Pedro Coimbra"/>
        <s v="Pedro Correia"/>
        <s v="Pedro Delgado Alves"/>
        <s v="Pedro do Carmo"/>
        <s v="Pedro dos Santos Frazão"/>
        <s v="Pedro Pessanha"/>
        <s v="Pedro Pinto"/>
        <s v="Pedro Roque"/>
        <s v="Pedro Soares Pimenta"/>
        <s v="Pedro Tavares"/>
        <s v="Pedro Vaz"/>
        <s v="Porfírio Silva"/>
        <s v="Raul Melo"/>
        <s v="Regina Bastos"/>
        <s v="Ricardo Aires"/>
        <s v="Ricardo Barroso"/>
        <s v="Ricardo Carlos"/>
        <s v="Ricardo Carvalho"/>
        <s v="Ricardo Dias Pinto"/>
        <s v="Ricardo Lima"/>
        <s v="Ricardo Lopes Reis"/>
        <s v="Ricardo Moreira"/>
        <s v="Ricardo Oliveira"/>
        <s v="Rita Matias"/>
        <s v="Rodrigo Alves Taxa"/>
        <s v="Rodrigo Saraiva"/>
        <s v="Rosa Isabel Cruz"/>
        <s v="Rui Afonso"/>
        <s v="Rui Cardoso"/>
        <s v="Rui Fernandes"/>
        <s v="Rui Jorge Santos"/>
        <s v="Rui Paulo Sousa"/>
        <s v="Rui Rocha"/>
        <s v="Rui Rocha Pereira"/>
        <s v="Rui Tavares"/>
        <s v="Sandra Lopes"/>
        <s v="Sandra Pereira"/>
        <s v="Sandra Ribeiro"/>
        <s v="Sofia Andrade"/>
        <s v="Sofia Machado Fernandes"/>
        <s v="Sofia Pereira"/>
        <s v="Sonia dos Reis"/>
        <s v="Sónia Margarida Fernandes"/>
        <s v="Sónia Monteiro"/>
        <s v="Susana Correia"/>
        <s v="Teresa Morais"/>
        <s v="Tiago Barbosa Ribeiro"/>
        <s v="Vanessa Barata"/>
        <s v="Vânia Jesus"/>
        <s v="Vítor Guerreiro"/>
      </sharedItems>
    </cacheField>
    <cacheField name="Circulo eleitoral" numFmtId="0">
      <sharedItems count="23">
        <s v="Aveiro"/>
        <s v="Guarda"/>
        <s v="Porto"/>
        <s v="Lisboa"/>
        <s v="Vila Real"/>
        <s v="Açores"/>
        <s v="Coimbra"/>
        <s v="Setúbal"/>
        <s v="Beja"/>
        <s v="Viseu"/>
        <s v="Faro"/>
        <s v="Europa"/>
        <s v="Braga"/>
        <s v="Leiria"/>
        <s v="Santarém"/>
        <s v="Viana do Castelo"/>
        <s v="Madeira"/>
        <s v="Évora"/>
        <s v="Bragança"/>
        <s v="Portalegre"/>
        <s v="Castelo Branco"/>
        <s v="Fora da Europa"/>
        <s v="Lisboa_x000a_"/>
      </sharedItems>
    </cacheField>
    <cacheField name="Grupo parlamentar/Partido" numFmtId="0">
      <sharedItems count="11">
        <s v="PSD"/>
        <s v="PS"/>
        <s v="PCP"/>
        <s v="CH"/>
        <s v="IL"/>
        <s v="BE"/>
        <s v="L"/>
        <s v="JPP"/>
        <s v="PAN"/>
        <s v="CDS-PP"/>
        <s v="CH_x000a_"/>
      </sharedItems>
    </cacheField>
    <cacheField name="Genero" numFmtId="0">
      <sharedItems/>
    </cacheField>
    <cacheField name="Idade" numFmtId="0">
      <sharedItems containsSemiMixedTypes="0" containsString="0" containsNumber="1" containsInteger="1" minValue="23" maxValue="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da" refreshedDate="46134.313312500002" createdVersion="8" refreshedVersion="8" minRefreshableVersion="3" recordCount="230" xr:uid="{CA7FA5E4-359E-4608-A7DD-80D137F3D94E}">
  <cacheSource type="worksheet">
    <worksheetSource name="Tabela1"/>
  </cacheSource>
  <cacheFields count="5">
    <cacheField name="Nome" numFmtId="0">
      <sharedItems count="230">
        <s v="Adriana Rodrigues"/>
        <s v="Aida Carvalho"/>
        <s v="Alberto Fonseca"/>
        <s v="Alberto Machado"/>
        <s v="Alexandre Poço"/>
        <s v="Alfredo Maia"/>
        <s v="Almiro Moreira"/>
        <s v="Amílcar Almeida"/>
        <s v="Ana Bernardo"/>
        <s v="Ana Gabriela Cabilhas"/>
        <s v="Ana Isabel Ferreira"/>
        <s v="Ana Martins"/>
        <s v="Ana Oliveira"/>
        <s v="Ana Silveira"/>
        <s v="André Pinotes Batista"/>
        <s v="André Rijo"/>
        <s v="André Ventura"/>
        <s v="Andreia Neto"/>
        <s v="Angélique Da Teresa"/>
        <s v="António Carneiro"/>
        <s v="António Mendonça Mendes"/>
        <s v="António Rodrigues"/>
        <s v="Armando Grave"/>
        <s v="Armando Mourisco"/>
        <s v="Bárbara do Amaral Correia"/>
        <s v="Bernardo Pessanha"/>
        <s v="Bruno Faria"/>
        <s v="Bruno Nunes"/>
        <s v="Bruno Ventura"/>
        <s v="Bruno Vitorino"/>
        <s v="Carla Barros"/>
        <s v="Carlos Alberto Gonçalves"/>
        <s v="Carlos Barbosa"/>
        <s v="Carlos Cação"/>
        <s v="Carlos Guimarães Pinto"/>
        <s v="Carlos Pereira"/>
        <s v="Carlos Silva Santiago"/>
        <s v="Carolina Marques"/>
        <s v="Catarina Louro"/>
        <s v="Catarina Salgueiro"/>
        <s v="Célia Freire"/>
        <s v="Cláudia Estêvão"/>
        <s v="Cristina Rodrigues"/>
        <s v="Cristina Vieira Henriques"/>
        <s v="Cristóvão Norte"/>
        <s v="Dália Miranda"/>
        <s v="Daniel Teixeira"/>
        <s v="Davide Amado"/>
        <s v="Diogo Pacheco de Amorim"/>
        <s v="Dulcineia Catarina Moura"/>
        <s v="Edite Estrela"/>
        <s v="Eduardo Pinheiro"/>
        <s v="Eduardo Teixeira"/>
        <s v="Eliseu Neves"/>
        <s v="Elza Pais"/>
        <s v="Emanuel Câmara"/>
        <s v="Emídio Guerreiro"/>
        <s v="Eurico Brilhante Dias"/>
        <s v="Eurídice Pereira"/>
        <s v="Eva Brás Pinho"/>
        <s v="Eva Cruzeiro"/>
        <s v="Fabian Figueiredo"/>
        <s v="Felicidade Vital"/>
        <s v="Fernando Queiroga"/>
        <s v="Filipa Pinto"/>
        <s v="Filipe Melo"/>
        <s v="Filipe Neto Brandão"/>
        <s v="Filipe Sousa"/>
        <s v="Firmino Ferreira"/>
        <s v="Francisco César"/>
        <s v="Francisco Covelinhas Lopes"/>
        <s v="Francisco Figueira"/>
        <s v="Francisco Gomes"/>
        <s v="Francisco José Martins"/>
        <s v="Francisco Pimentel"/>
        <s v="Francisco Sousa Vieira"/>
        <s v="Frederico Francisco"/>
        <s v="Germana Rocha"/>
        <s v="Gonçalo Dinis Capitão"/>
        <s v="Gonçalo Lage"/>
        <s v="Gonçalo Valente"/>
        <s v="Helga Correia"/>
        <s v="Hernâni Dias"/>
        <s v="Hernâni Loureiro"/>
        <s v="Hugo Carneiro"/>
        <s v="Hugo Costa"/>
        <s v="Hugo Oliveira"/>
        <s v="Hugo Patrício Oliveira"/>
        <s v="Hugo Soares"/>
        <s v="Humberto Brito"/>
        <s v="Idalina Durães"/>
        <s v="Inês Barroso"/>
        <s v="Inês de Sousa Real"/>
        <s v="Irene Costa"/>
        <s v="Isabel Alves Moreira"/>
        <s v="Isabel Fernandes"/>
        <s v="Isabel Mendes Lopes"/>
        <s v="Isaura Morais"/>
        <s v="Joana Cordeiro"/>
        <s v="Joana Lima"/>
        <s v="Joana Seabra"/>
        <s v="João Antunes dos Santos"/>
        <s v="João Lopes Aleixo"/>
        <s v="João Paulo Graça"/>
        <s v="João Pedro Louro"/>
        <s v="João Pinho de Almeida"/>
        <s v="João Ribeiro"/>
        <s v="João Tilly"/>
        <s v="João Torres"/>
        <s v="Joaquim Barbosa"/>
        <s v="Jorge Galveias"/>
        <s v="Jorge Miguel Teixeira"/>
        <s v="Jorge Pinto"/>
        <s v="José Barreira Soares"/>
        <s v="José Carlos Barbosa"/>
        <s v="José Carvalho"/>
        <s v="José Cesário"/>
        <s v="José Dias Fernandes"/>
        <s v="José Dotti"/>
        <s v="José Lago Gonçalves"/>
        <s v="José Luís Carneiro"/>
        <s v="José Pedro Aguiar-Branco"/>
        <s v="Júlia Rodrigues"/>
        <s v="Leandro Ferreira Luís"/>
        <s v="Leonor Cipriano"/>
        <s v="Lia Ferreira"/>
        <s v="Liliana Fidalgo"/>
        <s v="Liliana Sousa"/>
        <s v="Lina Pinheiro"/>
        <s v="Luís Dias"/>
        <s v="Luís Graça"/>
        <s v="Luís Moreira Testa"/>
        <s v="Luís Paulo Fernandes"/>
        <s v="Madalena Cordeiro"/>
        <s v="Manuel Magno"/>
        <s v="Manuela Carvalho"/>
        <s v="Manuela Tender"/>
        <s v="Marco Claudino"/>
        <s v="Marcos Perestrello"/>
        <s v="Marcus Santos"/>
        <s v="Margarida Afonso"/>
        <s v="Margarida Saavedra"/>
        <s v="Maria José Aguiar"/>
        <s v="Mariana Leitão"/>
        <s v="Mariana Vieira da Silva"/>
        <s v="Marina Gonçalves"/>
        <s v="Mário Amorim Lopes"/>
        <s v="Marta Martins da Silva"/>
        <s v="Martim Syder"/>
        <s v="Maurício Marques"/>
        <s v="Miguel Cabrita"/>
        <s v="Miguel Guimarães"/>
        <s v="Miguel Matos"/>
        <s v="Miguel Rangel"/>
        <s v="Miguel Santos"/>
        <s v="Nuna Menezes"/>
        <s v="Nuno Fazenda"/>
        <s v="Nuno Gabriel"/>
        <s v="Nuno Jorge Gonçalves"/>
        <s v="Nuno Simões de Melo"/>
        <s v="Olga Freire"/>
        <s v="Patrícia Almeida"/>
        <s v="Patrícia Carvalho"/>
        <s v="Patrícia Faro"/>
        <s v="Patrícia Gonçalves"/>
        <s v="Patrícia Nascimento"/>
        <s v="Paula Cardoso"/>
        <s v="Paula Santos"/>
        <s v="Paulo Cavaleiro"/>
        <s v="Paulo Edson Cunha"/>
        <s v="Paulo Lopes Marcelo"/>
        <s v="Paulo Lopes Silva"/>
        <s v="Paulo Moniz"/>
        <s v="Paulo Muacho"/>
        <s v="Paulo Neves"/>
        <s v="Paulo Núncio"/>
        <s v="Paulo Raimundo"/>
        <s v="Paulo Seco"/>
        <s v="Pedro Alves"/>
        <s v="Pedro Coelho"/>
        <s v="Pedro Coimbra"/>
        <s v="Pedro Correia"/>
        <s v="Pedro Delgado Alves"/>
        <s v="Pedro do Carmo"/>
        <s v="Pedro dos Santos Frazão"/>
        <s v="Pedro Pessanha"/>
        <s v="Pedro Pinto"/>
        <s v="Pedro Roque"/>
        <s v="Pedro Soares Pimenta"/>
        <s v="Pedro Tavares"/>
        <s v="Pedro Vaz"/>
        <s v="Porfírio Silva"/>
        <s v="Raul Melo"/>
        <s v="Regina Bastos"/>
        <s v="Ricardo Aires"/>
        <s v="Ricardo Barroso"/>
        <s v="Ricardo Carlos"/>
        <s v="Ricardo Carvalho"/>
        <s v="Ricardo Dias Pinto"/>
        <s v="Ricardo Lima"/>
        <s v="Ricardo Lopes Reis"/>
        <s v="Ricardo Moreira"/>
        <s v="Ricardo Oliveira"/>
        <s v="Rita Matias"/>
        <s v="Rodrigo Alves Taxa"/>
        <s v="Rodrigo Saraiva"/>
        <s v="Rosa Isabel Cruz"/>
        <s v="Rui Afonso"/>
        <s v="Rui Cardoso"/>
        <s v="Rui Fernandes"/>
        <s v="Rui Jorge Santos"/>
        <s v="Rui Paulo Sousa"/>
        <s v="Rui Rocha"/>
        <s v="Rui Rocha Pereira"/>
        <s v="Rui Tavares"/>
        <s v="Sandra Lopes"/>
        <s v="Sandra Pereira"/>
        <s v="Sandra Ribeiro"/>
        <s v="Sofia Andrade"/>
        <s v="Sofia Machado Fernandes"/>
        <s v="Sofia Pereira"/>
        <s v="Sonia dos Reis"/>
        <s v="Sónia Margarida Fernandes"/>
        <s v="Sónia Monteiro"/>
        <s v="Susana Correia"/>
        <s v="Teresa Morais"/>
        <s v="Tiago Barbosa Ribeiro"/>
        <s v="Vanessa Barata"/>
        <s v="Vânia Jesus"/>
        <s v="Vítor Guerreiro"/>
      </sharedItems>
    </cacheField>
    <cacheField name="Circulo eleitoral" numFmtId="0">
      <sharedItems/>
    </cacheField>
    <cacheField name="Grupo parlamentar/Partido" numFmtId="0">
      <sharedItems count="11">
        <s v="PSD"/>
        <s v="PS"/>
        <s v="PCP"/>
        <s v="CH"/>
        <s v="IL"/>
        <s v="BE"/>
        <s v="L"/>
        <s v="JPP"/>
        <s v="PAN"/>
        <s v="CDS-PP"/>
        <s v="CH_x000a_"/>
      </sharedItems>
    </cacheField>
    <cacheField name="Genero" numFmtId="0">
      <sharedItems count="2">
        <s v="F"/>
        <s v="M"/>
      </sharedItems>
    </cacheField>
    <cacheField name="Idade" numFmtId="0">
      <sharedItems containsSemiMixedTypes="0" containsString="0" containsNumber="1" containsInteger="1" minValue="23" maxValue="78" count="49">
        <n v="46"/>
        <n v="50"/>
        <n v="53"/>
        <n v="48"/>
        <n v="34"/>
        <n v="64"/>
        <n v="52"/>
        <n v="61"/>
        <n v="58"/>
        <n v="29"/>
        <n v="47"/>
        <n v="42"/>
        <n v="55"/>
        <n v="43"/>
        <n v="49"/>
        <n v="57"/>
        <n v="68"/>
        <n v="70"/>
        <n v="30"/>
        <n v="65"/>
        <n v="45"/>
        <n v="41"/>
        <n v="62"/>
        <n v="63"/>
        <n v="31"/>
        <n v="77"/>
        <n v="54"/>
        <n v="66"/>
        <n v="27"/>
        <n v="38"/>
        <n v="37"/>
        <n v="60"/>
        <n v="74"/>
        <n v="67"/>
        <n v="33"/>
        <n v="40"/>
        <n v="59"/>
        <n v="44"/>
        <n v="39"/>
        <n v="36"/>
        <n v="32"/>
        <n v="69"/>
        <n v="35"/>
        <n v="23"/>
        <n v="78"/>
        <n v="51"/>
        <n v="28"/>
        <n v="56"/>
        <n v="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da" refreshedDate="46134.332895254629" createdVersion="8" refreshedVersion="8" minRefreshableVersion="3" recordCount="230" xr:uid="{D35CB249-7430-4AE0-BC13-3A4D87FDF712}">
  <cacheSource type="worksheet">
    <worksheetSource ref="B1:H231" sheet="Página1"/>
  </cacheSource>
  <cacheFields count="7">
    <cacheField name="Nome" numFmtId="0">
      <sharedItems/>
    </cacheField>
    <cacheField name="Circulo eleitoral" numFmtId="0">
      <sharedItems/>
    </cacheField>
    <cacheField name="Grupo parlamentar/Partido" numFmtId="0">
      <sharedItems count="11">
        <s v="PSD"/>
        <s v="PS"/>
        <s v="PCP"/>
        <s v="CH"/>
        <s v="IL"/>
        <s v="BE"/>
        <s v="L"/>
        <s v="JPP"/>
        <s v="PAN"/>
        <s v="CDS-PP"/>
        <s v="CH_x000a_"/>
      </sharedItems>
    </cacheField>
    <cacheField name="Genero" numFmtId="0">
      <sharedItems/>
    </cacheField>
    <cacheField name="Idade" numFmtId="0">
      <sharedItems containsSemiMixedTypes="0" containsString="0" containsNumber="1" containsInteger="1" minValue="23" maxValue="78"/>
    </cacheField>
    <cacheField name=" HOMEM" numFmtId="0">
      <sharedItems containsString="0" containsBlank="1" containsNumber="1" containsInteger="1" minValue="1" maxValue="1"/>
    </cacheField>
    <cacheField name="MULHER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  <x v="0"/>
    <x v="0"/>
    <s v="F"/>
    <n v="46"/>
  </r>
  <r>
    <x v="1"/>
    <x v="1"/>
    <x v="1"/>
    <s v="F"/>
    <n v="50"/>
  </r>
  <r>
    <x v="2"/>
    <x v="2"/>
    <x v="0"/>
    <s v="M"/>
    <n v="53"/>
  </r>
  <r>
    <x v="3"/>
    <x v="2"/>
    <x v="0"/>
    <s v="M"/>
    <n v="48"/>
  </r>
  <r>
    <x v="4"/>
    <x v="3"/>
    <x v="0"/>
    <s v="M"/>
    <n v="34"/>
  </r>
  <r>
    <x v="5"/>
    <x v="2"/>
    <x v="2"/>
    <s v="M"/>
    <n v="64"/>
  </r>
  <r>
    <x v="6"/>
    <x v="0"/>
    <x v="0"/>
    <s v="M"/>
    <n v="52"/>
  </r>
  <r>
    <x v="7"/>
    <x v="4"/>
    <x v="0"/>
    <s v="M"/>
    <n v="61"/>
  </r>
  <r>
    <x v="8"/>
    <x v="3"/>
    <x v="1"/>
    <s v="F"/>
    <n v="58"/>
  </r>
  <r>
    <x v="9"/>
    <x v="2"/>
    <x v="0"/>
    <s v="F"/>
    <n v="29"/>
  </r>
  <r>
    <x v="10"/>
    <x v="2"/>
    <x v="0"/>
    <s v="F"/>
    <n v="47"/>
  </r>
  <r>
    <x v="11"/>
    <x v="5"/>
    <x v="3"/>
    <s v="F"/>
    <n v="48"/>
  </r>
  <r>
    <x v="12"/>
    <x v="6"/>
    <x v="0"/>
    <s v="F"/>
    <n v="42"/>
  </r>
  <r>
    <x v="13"/>
    <x v="4"/>
    <x v="0"/>
    <s v="F"/>
    <n v="55"/>
  </r>
  <r>
    <x v="14"/>
    <x v="7"/>
    <x v="1"/>
    <s v="M"/>
    <n v="42"/>
  </r>
  <r>
    <x v="15"/>
    <x v="3"/>
    <x v="1"/>
    <s v="M"/>
    <n v="42"/>
  </r>
  <r>
    <x v="16"/>
    <x v="3"/>
    <x v="3"/>
    <s v="M"/>
    <n v="43"/>
  </r>
  <r>
    <x v="17"/>
    <x v="2"/>
    <x v="0"/>
    <s v="F"/>
    <n v="46"/>
  </r>
  <r>
    <x v="18"/>
    <x v="3"/>
    <x v="4"/>
    <s v="F"/>
    <n v="49"/>
  </r>
  <r>
    <x v="19"/>
    <x v="8"/>
    <x v="3"/>
    <s v="M"/>
    <n v="57"/>
  </r>
  <r>
    <x v="20"/>
    <x v="7"/>
    <x v="1"/>
    <s v="M"/>
    <n v="50"/>
  </r>
  <r>
    <x v="21"/>
    <x v="3"/>
    <x v="0"/>
    <s v="M"/>
    <n v="68"/>
  </r>
  <r>
    <x v="22"/>
    <x v="0"/>
    <x v="3"/>
    <s v="M"/>
    <n v="70"/>
  </r>
  <r>
    <x v="23"/>
    <x v="9"/>
    <x v="1"/>
    <s v="M"/>
    <n v="57"/>
  </r>
  <r>
    <x v="24"/>
    <x v="10"/>
    <x v="0"/>
    <s v="F"/>
    <n v="34"/>
  </r>
  <r>
    <x v="25"/>
    <x v="9"/>
    <x v="3"/>
    <s v="M"/>
    <n v="43"/>
  </r>
  <r>
    <x v="26"/>
    <x v="9"/>
    <x v="0"/>
    <s v="M"/>
    <n v="30"/>
  </r>
  <r>
    <x v="27"/>
    <x v="3"/>
    <x v="3"/>
    <s v="M"/>
    <n v="50"/>
  </r>
  <r>
    <x v="28"/>
    <x v="3"/>
    <x v="0"/>
    <s v="M"/>
    <n v="46"/>
  </r>
  <r>
    <x v="29"/>
    <x v="7"/>
    <x v="0"/>
    <s v="M"/>
    <n v="55"/>
  </r>
  <r>
    <x v="30"/>
    <x v="2"/>
    <x v="0"/>
    <s v="F"/>
    <n v="46"/>
  </r>
  <r>
    <x v="31"/>
    <x v="11"/>
    <x v="0"/>
    <s v="M"/>
    <n v="65"/>
  </r>
  <r>
    <x v="32"/>
    <x v="12"/>
    <x v="3"/>
    <s v="M"/>
    <n v="45"/>
  </r>
  <r>
    <x v="33"/>
    <x v="12"/>
    <x v="0"/>
    <s v="M"/>
    <n v="41"/>
  </r>
  <r>
    <x v="34"/>
    <x v="2"/>
    <x v="4"/>
    <s v="M"/>
    <n v="43"/>
  </r>
  <r>
    <x v="35"/>
    <x v="7"/>
    <x v="1"/>
    <s v="M"/>
    <n v="57"/>
  </r>
  <r>
    <x v="36"/>
    <x v="9"/>
    <x v="0"/>
    <s v="M"/>
    <n v="49"/>
  </r>
  <r>
    <x v="37"/>
    <x v="0"/>
    <x v="0"/>
    <s v="F"/>
    <n v="29"/>
  </r>
  <r>
    <x v="38"/>
    <x v="13"/>
    <x v="1"/>
    <s v="F"/>
    <n v="43"/>
  </r>
  <r>
    <x v="39"/>
    <x v="14"/>
    <x v="3"/>
    <s v="F"/>
    <n v="62"/>
  </r>
  <r>
    <x v="40"/>
    <x v="13"/>
    <x v="0"/>
    <s v="F"/>
    <n v="53"/>
  </r>
  <r>
    <x v="41"/>
    <x v="7"/>
    <x v="3"/>
    <s v="F"/>
    <n v="52"/>
  </r>
  <r>
    <x v="42"/>
    <x v="2"/>
    <x v="3"/>
    <s v="F"/>
    <n v="41"/>
  </r>
  <r>
    <x v="43"/>
    <x v="13"/>
    <x v="3"/>
    <s v="F"/>
    <n v="63"/>
  </r>
  <r>
    <x v="44"/>
    <x v="10"/>
    <x v="0"/>
    <s v="M"/>
    <n v="50"/>
  </r>
  <r>
    <x v="45"/>
    <x v="2"/>
    <x v="1"/>
    <s v="F"/>
    <n v="49"/>
  </r>
  <r>
    <x v="46"/>
    <x v="7"/>
    <x v="3"/>
    <s v="M"/>
    <n v="31"/>
  </r>
  <r>
    <x v="47"/>
    <x v="3"/>
    <x v="1"/>
    <s v="M"/>
    <n v="47"/>
  </r>
  <r>
    <x v="48"/>
    <x v="2"/>
    <x v="3"/>
    <s v="M"/>
    <n v="77"/>
  </r>
  <r>
    <x v="49"/>
    <x v="1"/>
    <x v="0"/>
    <s v="F"/>
    <n v="46"/>
  </r>
  <r>
    <x v="50"/>
    <x v="3"/>
    <x v="1"/>
    <s v="F"/>
    <n v="54"/>
  </r>
  <r>
    <x v="51"/>
    <x v="2"/>
    <x v="1"/>
    <s v="M"/>
    <n v="52"/>
  </r>
  <r>
    <x v="52"/>
    <x v="15"/>
    <x v="3"/>
    <s v="M"/>
    <n v="68"/>
  </r>
  <r>
    <x v="53"/>
    <x v="6"/>
    <x v="3"/>
    <s v="M"/>
    <n v="66"/>
  </r>
  <r>
    <x v="54"/>
    <x v="9"/>
    <x v="1"/>
    <s v="F"/>
    <n v="61"/>
  </r>
  <r>
    <x v="55"/>
    <x v="16"/>
    <x v="1"/>
    <s v="M"/>
    <n v="54"/>
  </r>
  <r>
    <x v="56"/>
    <x v="12"/>
    <x v="0"/>
    <s v="M"/>
    <n v="64"/>
  </r>
  <r>
    <x v="57"/>
    <x v="13"/>
    <x v="1"/>
    <s v="M"/>
    <n v="27"/>
  </r>
  <r>
    <x v="58"/>
    <x v="7"/>
    <x v="1"/>
    <s v="F"/>
    <n v="47"/>
  </r>
  <r>
    <x v="59"/>
    <x v="3"/>
    <x v="0"/>
    <s v="F"/>
    <n v="77"/>
  </r>
  <r>
    <x v="60"/>
    <x v="3"/>
    <x v="1"/>
    <s v="F"/>
    <n v="38"/>
  </r>
  <r>
    <x v="61"/>
    <x v="3"/>
    <x v="5"/>
    <s v="M"/>
    <n v="37"/>
  </r>
  <r>
    <x v="62"/>
    <x v="3"/>
    <x v="3"/>
    <s v="F"/>
    <n v="61"/>
  </r>
  <r>
    <x v="63"/>
    <x v="4"/>
    <x v="0"/>
    <s v="M"/>
    <n v="57"/>
  </r>
  <r>
    <x v="64"/>
    <x v="2"/>
    <x v="6"/>
    <s v="F"/>
    <n v="55"/>
  </r>
  <r>
    <x v="65"/>
    <x v="12"/>
    <x v="3"/>
    <s v="M"/>
    <n v="45"/>
  </r>
  <r>
    <x v="66"/>
    <x v="0"/>
    <x v="1"/>
    <s v="M"/>
    <n v="58"/>
  </r>
  <r>
    <x v="67"/>
    <x v="16"/>
    <x v="7"/>
    <s v="M"/>
    <n v="62"/>
  </r>
  <r>
    <x v="68"/>
    <x v="0"/>
    <x v="0"/>
    <s v="M"/>
    <n v="60"/>
  </r>
  <r>
    <x v="69"/>
    <x v="5"/>
    <x v="1"/>
    <s v="M"/>
    <n v="48"/>
  </r>
  <r>
    <x v="70"/>
    <x v="2"/>
    <x v="0"/>
    <s v="M"/>
    <n v="52"/>
  </r>
  <r>
    <x v="71"/>
    <x v="17"/>
    <x v="0"/>
    <s v="M"/>
    <n v="46"/>
  </r>
  <r>
    <x v="72"/>
    <x v="16"/>
    <x v="3"/>
    <s v="M"/>
    <n v="46"/>
  </r>
  <r>
    <x v="73"/>
    <x v="3"/>
    <x v="0"/>
    <s v="M"/>
    <n v="74"/>
  </r>
  <r>
    <x v="74"/>
    <x v="5"/>
    <x v="0"/>
    <s v="M"/>
    <n v="67"/>
  </r>
  <r>
    <x v="75"/>
    <x v="2"/>
    <x v="0"/>
    <s v="M"/>
    <n v="33"/>
  </r>
  <r>
    <x v="76"/>
    <x v="3"/>
    <x v="1"/>
    <s v="M"/>
    <n v="40"/>
  </r>
  <r>
    <x v="77"/>
    <x v="2"/>
    <x v="0"/>
    <s v="F"/>
    <n v="58"/>
  </r>
  <r>
    <x v="78"/>
    <x v="2"/>
    <x v="0"/>
    <s v="M"/>
    <n v="55"/>
  </r>
  <r>
    <x v="79"/>
    <x v="3"/>
    <x v="0"/>
    <s v="M"/>
    <n v="46"/>
  </r>
  <r>
    <x v="80"/>
    <x v="8"/>
    <x v="0"/>
    <s v="M"/>
    <n v="46"/>
  </r>
  <r>
    <x v="81"/>
    <x v="0"/>
    <x v="0"/>
    <s v="F"/>
    <n v="49"/>
  </r>
  <r>
    <x v="82"/>
    <x v="18"/>
    <x v="0"/>
    <s v="M"/>
    <n v="59"/>
  </r>
  <r>
    <x v="83"/>
    <x v="12"/>
    <x v="1"/>
    <s v="M"/>
    <n v="46"/>
  </r>
  <r>
    <x v="84"/>
    <x v="2"/>
    <x v="0"/>
    <s v="M"/>
    <n v="44"/>
  </r>
  <r>
    <x v="85"/>
    <x v="14"/>
    <x v="1"/>
    <s v="M"/>
    <n v="43"/>
  </r>
  <r>
    <x v="86"/>
    <x v="0"/>
    <x v="1"/>
    <s v="M"/>
    <n v="44"/>
  </r>
  <r>
    <x v="87"/>
    <x v="13"/>
    <x v="0"/>
    <s v="M"/>
    <n v="52"/>
  </r>
  <r>
    <x v="88"/>
    <x v="12"/>
    <x v="0"/>
    <s v="M"/>
    <n v="43"/>
  </r>
  <r>
    <x v="89"/>
    <x v="2"/>
    <x v="1"/>
    <s v="M"/>
    <n v="53"/>
  </r>
  <r>
    <x v="90"/>
    <x v="2"/>
    <x v="3"/>
    <s v="F"/>
    <n v="62"/>
  </r>
  <r>
    <x v="91"/>
    <x v="14"/>
    <x v="0"/>
    <s v="F"/>
    <n v="61"/>
  </r>
  <r>
    <x v="92"/>
    <x v="3"/>
    <x v="8"/>
    <s v="F"/>
    <n v="46"/>
  </r>
  <r>
    <x v="93"/>
    <x v="12"/>
    <x v="1"/>
    <s v="F"/>
    <n v="54"/>
  </r>
  <r>
    <x v="94"/>
    <x v="3"/>
    <x v="1"/>
    <s v="F"/>
    <n v="50"/>
  </r>
  <r>
    <x v="95"/>
    <x v="9"/>
    <x v="0"/>
    <s v="F"/>
    <n v="52"/>
  </r>
  <r>
    <x v="96"/>
    <x v="3"/>
    <x v="6"/>
    <s v="F"/>
    <n v="44"/>
  </r>
  <r>
    <x v="97"/>
    <x v="14"/>
    <x v="0"/>
    <s v="F"/>
    <n v="60"/>
  </r>
  <r>
    <x v="98"/>
    <x v="7"/>
    <x v="4"/>
    <s v="F"/>
    <n v="42"/>
  </r>
  <r>
    <x v="99"/>
    <x v="2"/>
    <x v="1"/>
    <s v="F"/>
    <n v="63"/>
  </r>
  <r>
    <x v="100"/>
    <x v="6"/>
    <x v="0"/>
    <s v="F"/>
    <n v="63"/>
  </r>
  <r>
    <x v="101"/>
    <x v="13"/>
    <x v="0"/>
    <s v="M"/>
    <n v="52"/>
  </r>
  <r>
    <x v="102"/>
    <x v="19"/>
    <x v="3"/>
    <s v="M"/>
    <n v="62"/>
  </r>
  <r>
    <x v="103"/>
    <x v="10"/>
    <x v="3"/>
    <s v="M"/>
    <n v="39"/>
  </r>
  <r>
    <x v="104"/>
    <x v="3"/>
    <x v="0"/>
    <s v="M"/>
    <n v="38"/>
  </r>
  <r>
    <x v="105"/>
    <x v="2"/>
    <x v="9"/>
    <s v="M"/>
    <n v="42"/>
  </r>
  <r>
    <x v="106"/>
    <x v="20"/>
    <x v="3"/>
    <s v="M"/>
    <n v="54"/>
  </r>
  <r>
    <x v="107"/>
    <x v="9"/>
    <x v="3"/>
    <s v="M"/>
    <n v="39"/>
  </r>
  <r>
    <x v="108"/>
    <x v="2"/>
    <x v="1"/>
    <s v="M"/>
    <n v="66"/>
  </r>
  <r>
    <x v="109"/>
    <x v="12"/>
    <x v="0"/>
    <s v="M"/>
    <n v="36"/>
  </r>
  <r>
    <x v="110"/>
    <x v="17"/>
    <x v="3"/>
    <s v="M"/>
    <n v="53"/>
  </r>
  <r>
    <x v="111"/>
    <x v="3"/>
    <x v="4"/>
    <s v="M"/>
    <n v="32"/>
  </r>
  <r>
    <x v="112"/>
    <x v="2"/>
    <x v="6"/>
    <s v="M"/>
    <n v="50"/>
  </r>
  <r>
    <x v="113"/>
    <x v="3"/>
    <x v="3"/>
    <s v="M"/>
    <n v="40"/>
  </r>
  <r>
    <x v="114"/>
    <x v="2"/>
    <x v="1"/>
    <s v="M"/>
    <n v="74"/>
  </r>
  <r>
    <x v="115"/>
    <x v="2"/>
    <x v="3"/>
    <s v="M"/>
    <n v="32"/>
  </r>
  <r>
    <x v="116"/>
    <x v="21"/>
    <x v="0"/>
    <s v="M"/>
    <n v="47"/>
  </r>
  <r>
    <x v="117"/>
    <x v="11"/>
    <x v="3"/>
    <s v="M"/>
    <n v="31"/>
  </r>
  <r>
    <x v="118"/>
    <x v="14"/>
    <x v="3"/>
    <s v="M"/>
    <n v="43"/>
  </r>
  <r>
    <x v="119"/>
    <x v="15"/>
    <x v="0"/>
    <s v="M"/>
    <n v="68"/>
  </r>
  <r>
    <x v="120"/>
    <x v="12"/>
    <x v="1"/>
    <s v="M"/>
    <n v="67"/>
  </r>
  <r>
    <x v="121"/>
    <x v="15"/>
    <x v="0"/>
    <s v="M"/>
    <n v="63"/>
  </r>
  <r>
    <x v="122"/>
    <x v="18"/>
    <x v="1"/>
    <s v="F"/>
    <n v="55"/>
  </r>
  <r>
    <x v="123"/>
    <x v="12"/>
    <x v="0"/>
    <s v="M"/>
    <n v="50"/>
  </r>
  <r>
    <x v="124"/>
    <x v="20"/>
    <x v="0"/>
    <s v="F"/>
    <n v="64"/>
  </r>
  <r>
    <x v="125"/>
    <x v="0"/>
    <x v="1"/>
    <s v="F"/>
    <n v="69"/>
  </r>
  <r>
    <x v="126"/>
    <x v="22"/>
    <x v="0"/>
    <s v="F"/>
    <n v="55"/>
  </r>
  <r>
    <x v="127"/>
    <x v="13"/>
    <x v="0"/>
    <s v="F"/>
    <n v="27"/>
  </r>
  <r>
    <x v="128"/>
    <x v="12"/>
    <x v="3"/>
    <s v="F"/>
    <n v="62"/>
  </r>
  <r>
    <x v="129"/>
    <x v="17"/>
    <x v="1"/>
    <s v="M"/>
    <n v="46"/>
  </r>
  <r>
    <x v="130"/>
    <x v="10"/>
    <x v="1"/>
    <s v="M"/>
    <n v="48"/>
  </r>
  <r>
    <x v="131"/>
    <x v="19"/>
    <x v="1"/>
    <s v="M"/>
    <n v="35"/>
  </r>
  <r>
    <x v="132"/>
    <x v="13"/>
    <x v="3"/>
    <s v="M"/>
    <n v="34"/>
  </r>
  <r>
    <x v="133"/>
    <x v="3"/>
    <x v="3"/>
    <s v="F"/>
    <n v="43"/>
  </r>
  <r>
    <x v="134"/>
    <x v="21"/>
    <x v="3"/>
    <s v="M"/>
    <n v="48"/>
  </r>
  <r>
    <x v="135"/>
    <x v="15"/>
    <x v="0"/>
    <s v="F"/>
    <n v="54"/>
  </r>
  <r>
    <x v="136"/>
    <x v="4"/>
    <x v="3"/>
    <s v="F"/>
    <n v="50"/>
  </r>
  <r>
    <x v="137"/>
    <x v="3"/>
    <x v="0"/>
    <s v="M"/>
    <n v="23"/>
  </r>
  <r>
    <x v="138"/>
    <x v="14"/>
    <x v="1"/>
    <s v="M"/>
    <n v="62"/>
  </r>
  <r>
    <x v="139"/>
    <x v="2"/>
    <x v="3"/>
    <s v="M"/>
    <n v="78"/>
  </r>
  <r>
    <x v="140"/>
    <x v="7"/>
    <x v="1"/>
    <s v="F"/>
    <n v="43"/>
  </r>
  <r>
    <x v="141"/>
    <x v="3"/>
    <x v="0"/>
    <s v="F"/>
    <n v="55"/>
  </r>
  <r>
    <x v="142"/>
    <x v="0"/>
    <x v="3"/>
    <s v="F"/>
    <n v="47"/>
  </r>
  <r>
    <x v="143"/>
    <x v="3"/>
    <x v="4"/>
    <s v="F"/>
    <n v="46"/>
  </r>
  <r>
    <x v="144"/>
    <x v="3"/>
    <x v="1"/>
    <s v="F"/>
    <n v="74"/>
  </r>
  <r>
    <x v="145"/>
    <x v="15"/>
    <x v="1"/>
    <s v="F"/>
    <n v="58"/>
  </r>
  <r>
    <x v="146"/>
    <x v="0"/>
    <x v="4"/>
    <s v="M"/>
    <n v="60"/>
  </r>
  <r>
    <x v="147"/>
    <x v="3"/>
    <x v="3"/>
    <s v="F"/>
    <n v="55"/>
  </r>
  <r>
    <x v="148"/>
    <x v="6"/>
    <x v="0"/>
    <s v="M"/>
    <n v="63"/>
  </r>
  <r>
    <x v="149"/>
    <x v="6"/>
    <x v="0"/>
    <s v="M"/>
    <n v="64"/>
  </r>
  <r>
    <x v="150"/>
    <x v="3"/>
    <x v="1"/>
    <s v="M"/>
    <n v="67"/>
  </r>
  <r>
    <x v="151"/>
    <x v="2"/>
    <x v="0"/>
    <s v="M"/>
    <n v="44"/>
  </r>
  <r>
    <x v="152"/>
    <x v="3"/>
    <x v="1"/>
    <s v="M"/>
    <n v="48"/>
  </r>
  <r>
    <x v="153"/>
    <x v="2"/>
    <x v="4"/>
    <s v="M"/>
    <n v="38"/>
  </r>
  <r>
    <x v="154"/>
    <x v="10"/>
    <x v="0"/>
    <s v="M"/>
    <n v="42"/>
  </r>
  <r>
    <x v="155"/>
    <x v="5"/>
    <x v="0"/>
    <s v="F"/>
    <n v="47"/>
  </r>
  <r>
    <x v="156"/>
    <x v="20"/>
    <x v="1"/>
    <s v="M"/>
    <n v="31"/>
  </r>
  <r>
    <x v="157"/>
    <x v="7"/>
    <x v="3"/>
    <s v="M"/>
    <n v="68"/>
  </r>
  <r>
    <x v="158"/>
    <x v="18"/>
    <x v="0"/>
    <s v="M"/>
    <n v="32"/>
  </r>
  <r>
    <x v="159"/>
    <x v="1"/>
    <x v="3"/>
    <s v="M"/>
    <n v="50"/>
  </r>
  <r>
    <x v="160"/>
    <x v="2"/>
    <x v="0"/>
    <s v="F"/>
    <n v="51"/>
  </r>
  <r>
    <x v="161"/>
    <x v="3"/>
    <x v="3"/>
    <s v="F"/>
    <n v="50"/>
  </r>
  <r>
    <x v="162"/>
    <x v="7"/>
    <x v="3"/>
    <s v="F"/>
    <n v="55"/>
  </r>
  <r>
    <x v="163"/>
    <x v="2"/>
    <x v="1"/>
    <s v="F"/>
    <n v="48"/>
  </r>
  <r>
    <x v="164"/>
    <x v="3"/>
    <x v="6"/>
    <s v="F"/>
    <n v="57"/>
  </r>
  <r>
    <x v="165"/>
    <x v="2"/>
    <x v="3"/>
    <s v="F"/>
    <n v="39"/>
  </r>
  <r>
    <x v="166"/>
    <x v="0"/>
    <x v="0"/>
    <s v="F"/>
    <n v="55"/>
  </r>
  <r>
    <x v="167"/>
    <x v="7"/>
    <x v="2"/>
    <s v="F"/>
    <n v="33"/>
  </r>
  <r>
    <x v="168"/>
    <x v="0"/>
    <x v="0"/>
    <s v="M"/>
    <n v="45"/>
  </r>
  <r>
    <x v="169"/>
    <x v="7"/>
    <x v="0"/>
    <s v="M"/>
    <n v="54"/>
  </r>
  <r>
    <x v="170"/>
    <x v="3"/>
    <x v="0"/>
    <s v="M"/>
    <n v="46"/>
  </r>
  <r>
    <x v="171"/>
    <x v="12"/>
    <x v="1"/>
    <s v="M"/>
    <n v="50"/>
  </r>
  <r>
    <x v="172"/>
    <x v="5"/>
    <x v="0"/>
    <s v="M"/>
    <n v="57"/>
  </r>
  <r>
    <x v="173"/>
    <x v="7"/>
    <x v="6"/>
    <s v="M"/>
    <n v="59"/>
  </r>
  <r>
    <x v="174"/>
    <x v="16"/>
    <x v="0"/>
    <s v="M"/>
    <n v="53"/>
  </r>
  <r>
    <x v="175"/>
    <x v="3"/>
    <x v="9"/>
    <s v="M"/>
    <n v="58"/>
  </r>
  <r>
    <x v="176"/>
    <x v="3"/>
    <x v="2"/>
    <s v="M"/>
    <n v="57"/>
  </r>
  <r>
    <x v="177"/>
    <x v="6"/>
    <x v="3"/>
    <s v="M"/>
    <n v="53"/>
  </r>
  <r>
    <x v="178"/>
    <x v="9"/>
    <x v="0"/>
    <s v="M"/>
    <n v="36"/>
  </r>
  <r>
    <x v="179"/>
    <x v="16"/>
    <x v="0"/>
    <s v="M"/>
    <n v="53"/>
  </r>
  <r>
    <x v="180"/>
    <x v="6"/>
    <x v="1"/>
    <s v="M"/>
    <n v="55"/>
  </r>
  <r>
    <x v="181"/>
    <x v="14"/>
    <x v="3"/>
    <s v="M"/>
    <n v="39"/>
  </r>
  <r>
    <x v="182"/>
    <x v="6"/>
    <x v="1"/>
    <s v="M"/>
    <n v="52"/>
  </r>
  <r>
    <x v="183"/>
    <x v="8"/>
    <x v="1"/>
    <s v="M"/>
    <n v="53"/>
  </r>
  <r>
    <x v="184"/>
    <x v="0"/>
    <x v="3"/>
    <s v="M"/>
    <n v="51"/>
  </r>
  <r>
    <x v="185"/>
    <x v="3"/>
    <x v="3"/>
    <s v="M"/>
    <n v="54"/>
  </r>
  <r>
    <x v="186"/>
    <x v="10"/>
    <x v="3"/>
    <s v="M"/>
    <n v="46"/>
  </r>
  <r>
    <x v="187"/>
    <x v="7"/>
    <x v="0"/>
    <s v="M"/>
    <n v="47"/>
  </r>
  <r>
    <x v="188"/>
    <x v="3"/>
    <x v="0"/>
    <s v="M"/>
    <n v="60"/>
  </r>
  <r>
    <x v="189"/>
    <x v="0"/>
    <x v="3"/>
    <s v="M"/>
    <n v="49"/>
  </r>
  <r>
    <x v="190"/>
    <x v="3"/>
    <x v="1"/>
    <s v="M"/>
    <n v="51"/>
  </r>
  <r>
    <x v="191"/>
    <x v="2"/>
    <x v="1"/>
    <s v="M"/>
    <n v="55"/>
  </r>
  <r>
    <x v="192"/>
    <x v="2"/>
    <x v="10"/>
    <s v="M"/>
    <n v="50"/>
  </r>
  <r>
    <x v="193"/>
    <x v="3"/>
    <x v="0"/>
    <s v="F"/>
    <n v="51"/>
  </r>
  <r>
    <x v="194"/>
    <x v="20"/>
    <x v="0"/>
    <s v="M"/>
    <n v="65"/>
  </r>
  <r>
    <x v="195"/>
    <x v="12"/>
    <x v="0"/>
    <s v="M"/>
    <n v="57"/>
  </r>
  <r>
    <x v="196"/>
    <x v="14"/>
    <x v="0"/>
    <s v="M"/>
    <n v="66"/>
  </r>
  <r>
    <x v="197"/>
    <x v="13"/>
    <x v="0"/>
    <s v="M"/>
    <n v="42"/>
  </r>
  <r>
    <x v="198"/>
    <x v="3"/>
    <x v="3"/>
    <s v="M"/>
    <n v="45"/>
  </r>
  <r>
    <x v="199"/>
    <x v="3"/>
    <x v="1"/>
    <s v="M"/>
    <n v="37"/>
  </r>
  <r>
    <x v="200"/>
    <x v="7"/>
    <x v="3"/>
    <s v="M"/>
    <n v="58"/>
  </r>
  <r>
    <x v="201"/>
    <x v="10"/>
    <x v="3"/>
    <s v="M"/>
    <n v="54"/>
  </r>
  <r>
    <x v="202"/>
    <x v="14"/>
    <x v="0"/>
    <s v="M"/>
    <n v="30"/>
  </r>
  <r>
    <x v="203"/>
    <x v="7"/>
    <x v="3"/>
    <s v="F"/>
    <n v="43"/>
  </r>
  <r>
    <x v="204"/>
    <x v="12"/>
    <x v="3"/>
    <s v="M"/>
    <n v="27"/>
  </r>
  <r>
    <x v="205"/>
    <x v="3"/>
    <x v="4"/>
    <s v="M"/>
    <n v="28"/>
  </r>
  <r>
    <x v="206"/>
    <x v="6"/>
    <x v="1"/>
    <s v="F"/>
    <n v="50"/>
  </r>
  <r>
    <x v="207"/>
    <x v="2"/>
    <x v="3"/>
    <s v="M"/>
    <n v="37"/>
  </r>
  <r>
    <x v="208"/>
    <x v="3"/>
    <x v="3"/>
    <s v="M"/>
    <n v="56"/>
  </r>
  <r>
    <x v="209"/>
    <x v="13"/>
    <x v="3"/>
    <s v="M"/>
    <n v="34"/>
  </r>
  <r>
    <x v="210"/>
    <x v="4"/>
    <x v="1"/>
    <s v="M"/>
    <n v="57"/>
  </r>
  <r>
    <x v="211"/>
    <x v="3"/>
    <x v="3"/>
    <s v="M"/>
    <n v="60"/>
  </r>
  <r>
    <x v="212"/>
    <x v="12"/>
    <x v="4"/>
    <s v="M"/>
    <n v="24"/>
  </r>
  <r>
    <x v="213"/>
    <x v="2"/>
    <x v="0"/>
    <s v="M"/>
    <n v="54"/>
  </r>
  <r>
    <x v="214"/>
    <x v="3"/>
    <x v="6"/>
    <s v="M"/>
    <n v="56"/>
  </r>
  <r>
    <x v="215"/>
    <x v="12"/>
    <x v="1"/>
    <s v="F"/>
    <n v="59"/>
  </r>
  <r>
    <x v="216"/>
    <x v="3"/>
    <x v="0"/>
    <s v="F"/>
    <n v="47"/>
  </r>
  <r>
    <x v="217"/>
    <x v="10"/>
    <x v="3"/>
    <s v="F"/>
    <n v="52"/>
  </r>
  <r>
    <x v="218"/>
    <x v="2"/>
    <x v="1"/>
    <s v="F"/>
    <n v="53"/>
  </r>
  <r>
    <x v="219"/>
    <x v="12"/>
    <x v="0"/>
    <s v="F"/>
    <n v="54"/>
  </r>
  <r>
    <x v="220"/>
    <x v="2"/>
    <x v="1"/>
    <s v="F"/>
    <n v="27"/>
  </r>
  <r>
    <x v="221"/>
    <x v="7"/>
    <x v="0"/>
    <s v="F"/>
    <n v="52"/>
  </r>
  <r>
    <x v="222"/>
    <x v="12"/>
    <x v="0"/>
    <s v="F"/>
    <n v="46"/>
  </r>
  <r>
    <x v="223"/>
    <x v="2"/>
    <x v="3"/>
    <s v="F"/>
    <n v="49"/>
  </r>
  <r>
    <x v="224"/>
    <x v="0"/>
    <x v="1"/>
    <s v="F"/>
    <n v="52"/>
  </r>
  <r>
    <x v="225"/>
    <x v="7"/>
    <x v="0"/>
    <s v="F"/>
    <n v="50"/>
  </r>
  <r>
    <x v="226"/>
    <x v="2"/>
    <x v="1"/>
    <s v="M"/>
    <n v="43"/>
  </r>
  <r>
    <x v="227"/>
    <x v="12"/>
    <x v="3"/>
    <s v="F"/>
    <n v="38"/>
  </r>
  <r>
    <x v="228"/>
    <x v="16"/>
    <x v="0"/>
    <s v="F"/>
    <n v="47"/>
  </r>
  <r>
    <x v="229"/>
    <x v="10"/>
    <x v="1"/>
    <s v="M"/>
    <n v="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x v="0"/>
    <s v="Aveiro"/>
    <x v="0"/>
    <x v="0"/>
    <x v="0"/>
  </r>
  <r>
    <x v="1"/>
    <s v="Guarda"/>
    <x v="1"/>
    <x v="0"/>
    <x v="1"/>
  </r>
  <r>
    <x v="2"/>
    <s v="Porto"/>
    <x v="0"/>
    <x v="1"/>
    <x v="2"/>
  </r>
  <r>
    <x v="3"/>
    <s v="Porto"/>
    <x v="0"/>
    <x v="1"/>
    <x v="3"/>
  </r>
  <r>
    <x v="4"/>
    <s v="Lisboa"/>
    <x v="0"/>
    <x v="1"/>
    <x v="4"/>
  </r>
  <r>
    <x v="5"/>
    <s v="Porto"/>
    <x v="2"/>
    <x v="1"/>
    <x v="5"/>
  </r>
  <r>
    <x v="6"/>
    <s v="Aveiro"/>
    <x v="0"/>
    <x v="1"/>
    <x v="6"/>
  </r>
  <r>
    <x v="7"/>
    <s v="Vila Real"/>
    <x v="0"/>
    <x v="1"/>
    <x v="7"/>
  </r>
  <r>
    <x v="8"/>
    <s v="Lisboa"/>
    <x v="1"/>
    <x v="0"/>
    <x v="8"/>
  </r>
  <r>
    <x v="9"/>
    <s v="Porto"/>
    <x v="0"/>
    <x v="0"/>
    <x v="9"/>
  </r>
  <r>
    <x v="10"/>
    <s v="Porto"/>
    <x v="0"/>
    <x v="0"/>
    <x v="10"/>
  </r>
  <r>
    <x v="11"/>
    <s v="Açores"/>
    <x v="3"/>
    <x v="0"/>
    <x v="3"/>
  </r>
  <r>
    <x v="12"/>
    <s v="Coimbra"/>
    <x v="0"/>
    <x v="0"/>
    <x v="11"/>
  </r>
  <r>
    <x v="13"/>
    <s v="Vila Real"/>
    <x v="0"/>
    <x v="0"/>
    <x v="12"/>
  </r>
  <r>
    <x v="14"/>
    <s v="Setúbal"/>
    <x v="1"/>
    <x v="1"/>
    <x v="11"/>
  </r>
  <r>
    <x v="15"/>
    <s v="Lisboa"/>
    <x v="1"/>
    <x v="1"/>
    <x v="11"/>
  </r>
  <r>
    <x v="16"/>
    <s v="Lisboa"/>
    <x v="3"/>
    <x v="1"/>
    <x v="13"/>
  </r>
  <r>
    <x v="17"/>
    <s v="Porto"/>
    <x v="0"/>
    <x v="0"/>
    <x v="0"/>
  </r>
  <r>
    <x v="18"/>
    <s v="Lisboa"/>
    <x v="4"/>
    <x v="0"/>
    <x v="14"/>
  </r>
  <r>
    <x v="19"/>
    <s v="Beja"/>
    <x v="3"/>
    <x v="1"/>
    <x v="15"/>
  </r>
  <r>
    <x v="20"/>
    <s v="Setúbal"/>
    <x v="1"/>
    <x v="1"/>
    <x v="1"/>
  </r>
  <r>
    <x v="21"/>
    <s v="Lisboa"/>
    <x v="0"/>
    <x v="1"/>
    <x v="16"/>
  </r>
  <r>
    <x v="22"/>
    <s v="Aveiro"/>
    <x v="3"/>
    <x v="1"/>
    <x v="17"/>
  </r>
  <r>
    <x v="23"/>
    <s v="Viseu"/>
    <x v="1"/>
    <x v="1"/>
    <x v="15"/>
  </r>
  <r>
    <x v="24"/>
    <s v="Faro"/>
    <x v="0"/>
    <x v="0"/>
    <x v="4"/>
  </r>
  <r>
    <x v="25"/>
    <s v="Viseu"/>
    <x v="3"/>
    <x v="1"/>
    <x v="13"/>
  </r>
  <r>
    <x v="26"/>
    <s v="Viseu"/>
    <x v="0"/>
    <x v="1"/>
    <x v="18"/>
  </r>
  <r>
    <x v="27"/>
    <s v="Lisboa"/>
    <x v="3"/>
    <x v="1"/>
    <x v="1"/>
  </r>
  <r>
    <x v="28"/>
    <s v="Lisboa"/>
    <x v="0"/>
    <x v="1"/>
    <x v="0"/>
  </r>
  <r>
    <x v="29"/>
    <s v="Setúbal"/>
    <x v="0"/>
    <x v="1"/>
    <x v="12"/>
  </r>
  <r>
    <x v="30"/>
    <s v="Porto"/>
    <x v="0"/>
    <x v="0"/>
    <x v="0"/>
  </r>
  <r>
    <x v="31"/>
    <s v="Europa"/>
    <x v="0"/>
    <x v="1"/>
    <x v="19"/>
  </r>
  <r>
    <x v="32"/>
    <s v="Braga"/>
    <x v="3"/>
    <x v="1"/>
    <x v="20"/>
  </r>
  <r>
    <x v="33"/>
    <s v="Braga"/>
    <x v="0"/>
    <x v="1"/>
    <x v="21"/>
  </r>
  <r>
    <x v="34"/>
    <s v="Porto"/>
    <x v="4"/>
    <x v="1"/>
    <x v="13"/>
  </r>
  <r>
    <x v="35"/>
    <s v="Setúbal"/>
    <x v="1"/>
    <x v="1"/>
    <x v="15"/>
  </r>
  <r>
    <x v="36"/>
    <s v="Viseu"/>
    <x v="0"/>
    <x v="1"/>
    <x v="14"/>
  </r>
  <r>
    <x v="37"/>
    <s v="Aveiro"/>
    <x v="0"/>
    <x v="0"/>
    <x v="9"/>
  </r>
  <r>
    <x v="38"/>
    <s v="Leiria"/>
    <x v="1"/>
    <x v="0"/>
    <x v="13"/>
  </r>
  <r>
    <x v="39"/>
    <s v="Santarém"/>
    <x v="3"/>
    <x v="0"/>
    <x v="22"/>
  </r>
  <r>
    <x v="40"/>
    <s v="Leiria"/>
    <x v="0"/>
    <x v="0"/>
    <x v="2"/>
  </r>
  <r>
    <x v="41"/>
    <s v="Setúbal"/>
    <x v="3"/>
    <x v="0"/>
    <x v="6"/>
  </r>
  <r>
    <x v="42"/>
    <s v="Porto"/>
    <x v="3"/>
    <x v="0"/>
    <x v="21"/>
  </r>
  <r>
    <x v="43"/>
    <s v="Leiria"/>
    <x v="3"/>
    <x v="0"/>
    <x v="23"/>
  </r>
  <r>
    <x v="44"/>
    <s v="Faro"/>
    <x v="0"/>
    <x v="1"/>
    <x v="1"/>
  </r>
  <r>
    <x v="45"/>
    <s v="Porto"/>
    <x v="1"/>
    <x v="0"/>
    <x v="14"/>
  </r>
  <r>
    <x v="46"/>
    <s v="Setúbal"/>
    <x v="3"/>
    <x v="1"/>
    <x v="24"/>
  </r>
  <r>
    <x v="47"/>
    <s v="Lisboa"/>
    <x v="1"/>
    <x v="1"/>
    <x v="10"/>
  </r>
  <r>
    <x v="48"/>
    <s v="Porto"/>
    <x v="3"/>
    <x v="1"/>
    <x v="25"/>
  </r>
  <r>
    <x v="49"/>
    <s v="Guarda"/>
    <x v="0"/>
    <x v="0"/>
    <x v="0"/>
  </r>
  <r>
    <x v="50"/>
    <s v="Lisboa"/>
    <x v="1"/>
    <x v="0"/>
    <x v="26"/>
  </r>
  <r>
    <x v="51"/>
    <s v="Porto"/>
    <x v="1"/>
    <x v="1"/>
    <x v="6"/>
  </r>
  <r>
    <x v="52"/>
    <s v="Viana do Castelo"/>
    <x v="3"/>
    <x v="1"/>
    <x v="16"/>
  </r>
  <r>
    <x v="53"/>
    <s v="Coimbra"/>
    <x v="3"/>
    <x v="1"/>
    <x v="27"/>
  </r>
  <r>
    <x v="54"/>
    <s v="Viseu"/>
    <x v="1"/>
    <x v="0"/>
    <x v="7"/>
  </r>
  <r>
    <x v="55"/>
    <s v="Madeira"/>
    <x v="1"/>
    <x v="1"/>
    <x v="26"/>
  </r>
  <r>
    <x v="56"/>
    <s v="Braga"/>
    <x v="0"/>
    <x v="1"/>
    <x v="5"/>
  </r>
  <r>
    <x v="57"/>
    <s v="Leiria"/>
    <x v="1"/>
    <x v="1"/>
    <x v="28"/>
  </r>
  <r>
    <x v="58"/>
    <s v="Setúbal"/>
    <x v="1"/>
    <x v="0"/>
    <x v="10"/>
  </r>
  <r>
    <x v="59"/>
    <s v="Lisboa"/>
    <x v="0"/>
    <x v="0"/>
    <x v="25"/>
  </r>
  <r>
    <x v="60"/>
    <s v="Lisboa"/>
    <x v="1"/>
    <x v="0"/>
    <x v="29"/>
  </r>
  <r>
    <x v="61"/>
    <s v="Lisboa"/>
    <x v="5"/>
    <x v="1"/>
    <x v="30"/>
  </r>
  <r>
    <x v="62"/>
    <s v="Lisboa"/>
    <x v="3"/>
    <x v="0"/>
    <x v="7"/>
  </r>
  <r>
    <x v="63"/>
    <s v="Vila Real"/>
    <x v="0"/>
    <x v="1"/>
    <x v="15"/>
  </r>
  <r>
    <x v="64"/>
    <s v="Porto"/>
    <x v="6"/>
    <x v="0"/>
    <x v="12"/>
  </r>
  <r>
    <x v="65"/>
    <s v="Braga"/>
    <x v="3"/>
    <x v="1"/>
    <x v="20"/>
  </r>
  <r>
    <x v="66"/>
    <s v="Aveiro"/>
    <x v="1"/>
    <x v="1"/>
    <x v="8"/>
  </r>
  <r>
    <x v="67"/>
    <s v="Madeira"/>
    <x v="7"/>
    <x v="1"/>
    <x v="22"/>
  </r>
  <r>
    <x v="68"/>
    <s v="Aveiro"/>
    <x v="0"/>
    <x v="1"/>
    <x v="31"/>
  </r>
  <r>
    <x v="69"/>
    <s v="Açores"/>
    <x v="1"/>
    <x v="1"/>
    <x v="3"/>
  </r>
  <r>
    <x v="70"/>
    <s v="Porto"/>
    <x v="0"/>
    <x v="1"/>
    <x v="6"/>
  </r>
  <r>
    <x v="71"/>
    <s v="Évora"/>
    <x v="0"/>
    <x v="1"/>
    <x v="0"/>
  </r>
  <r>
    <x v="72"/>
    <s v="Madeira"/>
    <x v="3"/>
    <x v="1"/>
    <x v="0"/>
  </r>
  <r>
    <x v="73"/>
    <s v="Lisboa"/>
    <x v="0"/>
    <x v="1"/>
    <x v="32"/>
  </r>
  <r>
    <x v="74"/>
    <s v="Açores"/>
    <x v="0"/>
    <x v="1"/>
    <x v="33"/>
  </r>
  <r>
    <x v="75"/>
    <s v="Porto"/>
    <x v="0"/>
    <x v="1"/>
    <x v="34"/>
  </r>
  <r>
    <x v="76"/>
    <s v="Lisboa"/>
    <x v="1"/>
    <x v="1"/>
    <x v="35"/>
  </r>
  <r>
    <x v="77"/>
    <s v="Porto"/>
    <x v="0"/>
    <x v="0"/>
    <x v="8"/>
  </r>
  <r>
    <x v="78"/>
    <s v="Porto"/>
    <x v="0"/>
    <x v="1"/>
    <x v="12"/>
  </r>
  <r>
    <x v="79"/>
    <s v="Lisboa"/>
    <x v="0"/>
    <x v="1"/>
    <x v="0"/>
  </r>
  <r>
    <x v="80"/>
    <s v="Beja"/>
    <x v="0"/>
    <x v="1"/>
    <x v="0"/>
  </r>
  <r>
    <x v="81"/>
    <s v="Aveiro"/>
    <x v="0"/>
    <x v="0"/>
    <x v="14"/>
  </r>
  <r>
    <x v="82"/>
    <s v="Bragança"/>
    <x v="0"/>
    <x v="1"/>
    <x v="36"/>
  </r>
  <r>
    <x v="83"/>
    <s v="Braga"/>
    <x v="1"/>
    <x v="1"/>
    <x v="0"/>
  </r>
  <r>
    <x v="84"/>
    <s v="Porto"/>
    <x v="0"/>
    <x v="1"/>
    <x v="37"/>
  </r>
  <r>
    <x v="85"/>
    <s v="Santarém"/>
    <x v="1"/>
    <x v="1"/>
    <x v="13"/>
  </r>
  <r>
    <x v="86"/>
    <s v="Aveiro"/>
    <x v="1"/>
    <x v="1"/>
    <x v="37"/>
  </r>
  <r>
    <x v="87"/>
    <s v="Leiria"/>
    <x v="0"/>
    <x v="1"/>
    <x v="6"/>
  </r>
  <r>
    <x v="88"/>
    <s v="Braga"/>
    <x v="0"/>
    <x v="1"/>
    <x v="13"/>
  </r>
  <r>
    <x v="89"/>
    <s v="Porto"/>
    <x v="1"/>
    <x v="1"/>
    <x v="2"/>
  </r>
  <r>
    <x v="90"/>
    <s v="Porto"/>
    <x v="3"/>
    <x v="0"/>
    <x v="22"/>
  </r>
  <r>
    <x v="91"/>
    <s v="Santarém"/>
    <x v="0"/>
    <x v="0"/>
    <x v="7"/>
  </r>
  <r>
    <x v="92"/>
    <s v="Lisboa"/>
    <x v="8"/>
    <x v="0"/>
    <x v="0"/>
  </r>
  <r>
    <x v="93"/>
    <s v="Braga"/>
    <x v="1"/>
    <x v="0"/>
    <x v="26"/>
  </r>
  <r>
    <x v="94"/>
    <s v="Lisboa"/>
    <x v="1"/>
    <x v="0"/>
    <x v="1"/>
  </r>
  <r>
    <x v="95"/>
    <s v="Viseu"/>
    <x v="0"/>
    <x v="0"/>
    <x v="6"/>
  </r>
  <r>
    <x v="96"/>
    <s v="Lisboa"/>
    <x v="6"/>
    <x v="0"/>
    <x v="37"/>
  </r>
  <r>
    <x v="97"/>
    <s v="Santarém"/>
    <x v="0"/>
    <x v="0"/>
    <x v="31"/>
  </r>
  <r>
    <x v="98"/>
    <s v="Setúbal"/>
    <x v="4"/>
    <x v="0"/>
    <x v="11"/>
  </r>
  <r>
    <x v="99"/>
    <s v="Porto"/>
    <x v="1"/>
    <x v="0"/>
    <x v="23"/>
  </r>
  <r>
    <x v="100"/>
    <s v="Coimbra"/>
    <x v="0"/>
    <x v="0"/>
    <x v="23"/>
  </r>
  <r>
    <x v="101"/>
    <s v="Leiria"/>
    <x v="0"/>
    <x v="1"/>
    <x v="6"/>
  </r>
  <r>
    <x v="102"/>
    <s v="Portalegre"/>
    <x v="3"/>
    <x v="1"/>
    <x v="22"/>
  </r>
  <r>
    <x v="103"/>
    <s v="Faro"/>
    <x v="3"/>
    <x v="1"/>
    <x v="38"/>
  </r>
  <r>
    <x v="104"/>
    <s v="Lisboa"/>
    <x v="0"/>
    <x v="1"/>
    <x v="29"/>
  </r>
  <r>
    <x v="105"/>
    <s v="Porto"/>
    <x v="9"/>
    <x v="1"/>
    <x v="11"/>
  </r>
  <r>
    <x v="106"/>
    <s v="Castelo Branco"/>
    <x v="3"/>
    <x v="1"/>
    <x v="26"/>
  </r>
  <r>
    <x v="107"/>
    <s v="Viseu"/>
    <x v="3"/>
    <x v="1"/>
    <x v="38"/>
  </r>
  <r>
    <x v="108"/>
    <s v="Porto"/>
    <x v="1"/>
    <x v="1"/>
    <x v="27"/>
  </r>
  <r>
    <x v="109"/>
    <s v="Braga"/>
    <x v="0"/>
    <x v="1"/>
    <x v="39"/>
  </r>
  <r>
    <x v="110"/>
    <s v="Évora"/>
    <x v="3"/>
    <x v="1"/>
    <x v="2"/>
  </r>
  <r>
    <x v="111"/>
    <s v="Lisboa"/>
    <x v="4"/>
    <x v="1"/>
    <x v="40"/>
  </r>
  <r>
    <x v="112"/>
    <s v="Porto"/>
    <x v="6"/>
    <x v="1"/>
    <x v="1"/>
  </r>
  <r>
    <x v="113"/>
    <s v="Lisboa"/>
    <x v="3"/>
    <x v="1"/>
    <x v="35"/>
  </r>
  <r>
    <x v="114"/>
    <s v="Porto"/>
    <x v="1"/>
    <x v="1"/>
    <x v="32"/>
  </r>
  <r>
    <x v="115"/>
    <s v="Porto"/>
    <x v="3"/>
    <x v="1"/>
    <x v="40"/>
  </r>
  <r>
    <x v="116"/>
    <s v="Fora da Europa"/>
    <x v="0"/>
    <x v="1"/>
    <x v="10"/>
  </r>
  <r>
    <x v="117"/>
    <s v="Europa"/>
    <x v="3"/>
    <x v="1"/>
    <x v="24"/>
  </r>
  <r>
    <x v="118"/>
    <s v="Santarém"/>
    <x v="3"/>
    <x v="1"/>
    <x v="13"/>
  </r>
  <r>
    <x v="119"/>
    <s v="Viana do Castelo"/>
    <x v="0"/>
    <x v="1"/>
    <x v="16"/>
  </r>
  <r>
    <x v="120"/>
    <s v="Braga"/>
    <x v="1"/>
    <x v="1"/>
    <x v="33"/>
  </r>
  <r>
    <x v="121"/>
    <s v="Viana do Castelo"/>
    <x v="0"/>
    <x v="1"/>
    <x v="23"/>
  </r>
  <r>
    <x v="122"/>
    <s v="Bragança"/>
    <x v="1"/>
    <x v="0"/>
    <x v="12"/>
  </r>
  <r>
    <x v="123"/>
    <s v="Braga"/>
    <x v="0"/>
    <x v="1"/>
    <x v="1"/>
  </r>
  <r>
    <x v="124"/>
    <s v="Castelo Branco"/>
    <x v="0"/>
    <x v="0"/>
    <x v="5"/>
  </r>
  <r>
    <x v="125"/>
    <s v="Aveiro"/>
    <x v="1"/>
    <x v="0"/>
    <x v="41"/>
  </r>
  <r>
    <x v="126"/>
    <s v="Lisboa_x000a_"/>
    <x v="0"/>
    <x v="0"/>
    <x v="12"/>
  </r>
  <r>
    <x v="127"/>
    <s v="Leiria"/>
    <x v="0"/>
    <x v="0"/>
    <x v="28"/>
  </r>
  <r>
    <x v="128"/>
    <s v="Braga"/>
    <x v="3"/>
    <x v="0"/>
    <x v="22"/>
  </r>
  <r>
    <x v="129"/>
    <s v="Évora"/>
    <x v="1"/>
    <x v="1"/>
    <x v="0"/>
  </r>
  <r>
    <x v="130"/>
    <s v="Faro"/>
    <x v="1"/>
    <x v="1"/>
    <x v="3"/>
  </r>
  <r>
    <x v="131"/>
    <s v="Portalegre"/>
    <x v="1"/>
    <x v="1"/>
    <x v="42"/>
  </r>
  <r>
    <x v="132"/>
    <s v="Leiria"/>
    <x v="3"/>
    <x v="1"/>
    <x v="4"/>
  </r>
  <r>
    <x v="133"/>
    <s v="Lisboa"/>
    <x v="3"/>
    <x v="0"/>
    <x v="13"/>
  </r>
  <r>
    <x v="134"/>
    <s v="Fora da Europa"/>
    <x v="3"/>
    <x v="1"/>
    <x v="3"/>
  </r>
  <r>
    <x v="135"/>
    <s v="Viana do Castelo"/>
    <x v="0"/>
    <x v="0"/>
    <x v="26"/>
  </r>
  <r>
    <x v="136"/>
    <s v="Vila Real"/>
    <x v="3"/>
    <x v="0"/>
    <x v="1"/>
  </r>
  <r>
    <x v="137"/>
    <s v="Lisboa"/>
    <x v="0"/>
    <x v="1"/>
    <x v="43"/>
  </r>
  <r>
    <x v="138"/>
    <s v="Santarém"/>
    <x v="1"/>
    <x v="1"/>
    <x v="22"/>
  </r>
  <r>
    <x v="139"/>
    <s v="Porto"/>
    <x v="3"/>
    <x v="1"/>
    <x v="44"/>
  </r>
  <r>
    <x v="140"/>
    <s v="Setúbal"/>
    <x v="1"/>
    <x v="0"/>
    <x v="13"/>
  </r>
  <r>
    <x v="141"/>
    <s v="Lisboa"/>
    <x v="0"/>
    <x v="0"/>
    <x v="12"/>
  </r>
  <r>
    <x v="142"/>
    <s v="Aveiro"/>
    <x v="3"/>
    <x v="0"/>
    <x v="10"/>
  </r>
  <r>
    <x v="143"/>
    <s v="Lisboa"/>
    <x v="4"/>
    <x v="0"/>
    <x v="0"/>
  </r>
  <r>
    <x v="144"/>
    <s v="Lisboa"/>
    <x v="1"/>
    <x v="0"/>
    <x v="32"/>
  </r>
  <r>
    <x v="145"/>
    <s v="Viana do Castelo"/>
    <x v="1"/>
    <x v="0"/>
    <x v="8"/>
  </r>
  <r>
    <x v="146"/>
    <s v="Aveiro"/>
    <x v="4"/>
    <x v="1"/>
    <x v="31"/>
  </r>
  <r>
    <x v="147"/>
    <s v="Lisboa"/>
    <x v="3"/>
    <x v="0"/>
    <x v="12"/>
  </r>
  <r>
    <x v="148"/>
    <s v="Coimbra"/>
    <x v="0"/>
    <x v="1"/>
    <x v="23"/>
  </r>
  <r>
    <x v="149"/>
    <s v="Coimbra"/>
    <x v="0"/>
    <x v="1"/>
    <x v="5"/>
  </r>
  <r>
    <x v="150"/>
    <s v="Lisboa"/>
    <x v="1"/>
    <x v="1"/>
    <x v="33"/>
  </r>
  <r>
    <x v="151"/>
    <s v="Porto"/>
    <x v="0"/>
    <x v="1"/>
    <x v="37"/>
  </r>
  <r>
    <x v="152"/>
    <s v="Lisboa"/>
    <x v="1"/>
    <x v="1"/>
    <x v="3"/>
  </r>
  <r>
    <x v="153"/>
    <s v="Porto"/>
    <x v="4"/>
    <x v="1"/>
    <x v="29"/>
  </r>
  <r>
    <x v="154"/>
    <s v="Faro"/>
    <x v="0"/>
    <x v="1"/>
    <x v="11"/>
  </r>
  <r>
    <x v="155"/>
    <s v="Açores"/>
    <x v="0"/>
    <x v="0"/>
    <x v="10"/>
  </r>
  <r>
    <x v="156"/>
    <s v="Castelo Branco"/>
    <x v="1"/>
    <x v="1"/>
    <x v="24"/>
  </r>
  <r>
    <x v="157"/>
    <s v="Setúbal"/>
    <x v="3"/>
    <x v="1"/>
    <x v="16"/>
  </r>
  <r>
    <x v="158"/>
    <s v="Bragança"/>
    <x v="0"/>
    <x v="1"/>
    <x v="40"/>
  </r>
  <r>
    <x v="159"/>
    <s v="Guarda"/>
    <x v="3"/>
    <x v="1"/>
    <x v="1"/>
  </r>
  <r>
    <x v="160"/>
    <s v="Porto"/>
    <x v="0"/>
    <x v="0"/>
    <x v="45"/>
  </r>
  <r>
    <x v="161"/>
    <s v="Lisboa"/>
    <x v="3"/>
    <x v="0"/>
    <x v="1"/>
  </r>
  <r>
    <x v="162"/>
    <s v="Setúbal"/>
    <x v="3"/>
    <x v="0"/>
    <x v="12"/>
  </r>
  <r>
    <x v="163"/>
    <s v="Porto"/>
    <x v="1"/>
    <x v="0"/>
    <x v="3"/>
  </r>
  <r>
    <x v="164"/>
    <s v="Lisboa"/>
    <x v="6"/>
    <x v="0"/>
    <x v="15"/>
  </r>
  <r>
    <x v="165"/>
    <s v="Porto"/>
    <x v="3"/>
    <x v="0"/>
    <x v="38"/>
  </r>
  <r>
    <x v="166"/>
    <s v="Aveiro"/>
    <x v="0"/>
    <x v="0"/>
    <x v="12"/>
  </r>
  <r>
    <x v="167"/>
    <s v="Setúbal"/>
    <x v="2"/>
    <x v="0"/>
    <x v="34"/>
  </r>
  <r>
    <x v="168"/>
    <s v="Aveiro"/>
    <x v="0"/>
    <x v="1"/>
    <x v="20"/>
  </r>
  <r>
    <x v="169"/>
    <s v="Setúbal"/>
    <x v="0"/>
    <x v="1"/>
    <x v="26"/>
  </r>
  <r>
    <x v="170"/>
    <s v="Lisboa"/>
    <x v="0"/>
    <x v="1"/>
    <x v="0"/>
  </r>
  <r>
    <x v="171"/>
    <s v="Braga"/>
    <x v="1"/>
    <x v="1"/>
    <x v="1"/>
  </r>
  <r>
    <x v="172"/>
    <s v="Açores"/>
    <x v="0"/>
    <x v="1"/>
    <x v="15"/>
  </r>
  <r>
    <x v="173"/>
    <s v="Setúbal"/>
    <x v="6"/>
    <x v="1"/>
    <x v="36"/>
  </r>
  <r>
    <x v="174"/>
    <s v="Madeira"/>
    <x v="0"/>
    <x v="1"/>
    <x v="2"/>
  </r>
  <r>
    <x v="175"/>
    <s v="Lisboa"/>
    <x v="9"/>
    <x v="1"/>
    <x v="8"/>
  </r>
  <r>
    <x v="176"/>
    <s v="Lisboa"/>
    <x v="2"/>
    <x v="1"/>
    <x v="15"/>
  </r>
  <r>
    <x v="177"/>
    <s v="Coimbra"/>
    <x v="3"/>
    <x v="1"/>
    <x v="2"/>
  </r>
  <r>
    <x v="178"/>
    <s v="Viseu"/>
    <x v="0"/>
    <x v="1"/>
    <x v="39"/>
  </r>
  <r>
    <x v="179"/>
    <s v="Madeira"/>
    <x v="0"/>
    <x v="1"/>
    <x v="2"/>
  </r>
  <r>
    <x v="180"/>
    <s v="Coimbra"/>
    <x v="1"/>
    <x v="1"/>
    <x v="12"/>
  </r>
  <r>
    <x v="181"/>
    <s v="Santarém"/>
    <x v="3"/>
    <x v="1"/>
    <x v="38"/>
  </r>
  <r>
    <x v="182"/>
    <s v="Coimbra"/>
    <x v="1"/>
    <x v="1"/>
    <x v="6"/>
  </r>
  <r>
    <x v="183"/>
    <s v="Beja"/>
    <x v="1"/>
    <x v="1"/>
    <x v="2"/>
  </r>
  <r>
    <x v="184"/>
    <s v="Aveiro"/>
    <x v="3"/>
    <x v="1"/>
    <x v="45"/>
  </r>
  <r>
    <x v="185"/>
    <s v="Lisboa"/>
    <x v="3"/>
    <x v="1"/>
    <x v="26"/>
  </r>
  <r>
    <x v="186"/>
    <s v="Faro"/>
    <x v="3"/>
    <x v="1"/>
    <x v="0"/>
  </r>
  <r>
    <x v="187"/>
    <s v="Setúbal"/>
    <x v="0"/>
    <x v="1"/>
    <x v="10"/>
  </r>
  <r>
    <x v="188"/>
    <s v="Lisboa"/>
    <x v="0"/>
    <x v="1"/>
    <x v="31"/>
  </r>
  <r>
    <x v="189"/>
    <s v="Aveiro"/>
    <x v="3"/>
    <x v="1"/>
    <x v="14"/>
  </r>
  <r>
    <x v="190"/>
    <s v="Lisboa"/>
    <x v="1"/>
    <x v="1"/>
    <x v="45"/>
  </r>
  <r>
    <x v="191"/>
    <s v="Porto"/>
    <x v="1"/>
    <x v="1"/>
    <x v="12"/>
  </r>
  <r>
    <x v="192"/>
    <s v="Porto"/>
    <x v="10"/>
    <x v="1"/>
    <x v="1"/>
  </r>
  <r>
    <x v="193"/>
    <s v="Lisboa"/>
    <x v="0"/>
    <x v="0"/>
    <x v="45"/>
  </r>
  <r>
    <x v="194"/>
    <s v="Castelo Branco"/>
    <x v="0"/>
    <x v="1"/>
    <x v="19"/>
  </r>
  <r>
    <x v="195"/>
    <s v="Braga"/>
    <x v="0"/>
    <x v="1"/>
    <x v="15"/>
  </r>
  <r>
    <x v="196"/>
    <s v="Santarém"/>
    <x v="0"/>
    <x v="1"/>
    <x v="27"/>
  </r>
  <r>
    <x v="197"/>
    <s v="Leiria"/>
    <x v="0"/>
    <x v="1"/>
    <x v="11"/>
  </r>
  <r>
    <x v="198"/>
    <s v="Lisboa"/>
    <x v="3"/>
    <x v="1"/>
    <x v="20"/>
  </r>
  <r>
    <x v="199"/>
    <s v="Lisboa"/>
    <x v="1"/>
    <x v="1"/>
    <x v="30"/>
  </r>
  <r>
    <x v="200"/>
    <s v="Setúbal"/>
    <x v="3"/>
    <x v="1"/>
    <x v="8"/>
  </r>
  <r>
    <x v="201"/>
    <s v="Faro"/>
    <x v="3"/>
    <x v="1"/>
    <x v="26"/>
  </r>
  <r>
    <x v="202"/>
    <s v="Santarém"/>
    <x v="0"/>
    <x v="1"/>
    <x v="18"/>
  </r>
  <r>
    <x v="203"/>
    <s v="Setúbal"/>
    <x v="3"/>
    <x v="0"/>
    <x v="13"/>
  </r>
  <r>
    <x v="204"/>
    <s v="Braga"/>
    <x v="3"/>
    <x v="1"/>
    <x v="28"/>
  </r>
  <r>
    <x v="205"/>
    <s v="Lisboa"/>
    <x v="4"/>
    <x v="1"/>
    <x v="46"/>
  </r>
  <r>
    <x v="206"/>
    <s v="Coimbra"/>
    <x v="1"/>
    <x v="0"/>
    <x v="1"/>
  </r>
  <r>
    <x v="207"/>
    <s v="Porto"/>
    <x v="3"/>
    <x v="1"/>
    <x v="30"/>
  </r>
  <r>
    <x v="208"/>
    <s v="Lisboa"/>
    <x v="3"/>
    <x v="1"/>
    <x v="47"/>
  </r>
  <r>
    <x v="209"/>
    <s v="Leiria"/>
    <x v="3"/>
    <x v="1"/>
    <x v="4"/>
  </r>
  <r>
    <x v="210"/>
    <s v="Vila Real"/>
    <x v="1"/>
    <x v="1"/>
    <x v="15"/>
  </r>
  <r>
    <x v="211"/>
    <s v="Lisboa"/>
    <x v="3"/>
    <x v="1"/>
    <x v="31"/>
  </r>
  <r>
    <x v="212"/>
    <s v="Braga"/>
    <x v="4"/>
    <x v="1"/>
    <x v="48"/>
  </r>
  <r>
    <x v="213"/>
    <s v="Porto"/>
    <x v="0"/>
    <x v="1"/>
    <x v="26"/>
  </r>
  <r>
    <x v="214"/>
    <s v="Lisboa"/>
    <x v="6"/>
    <x v="1"/>
    <x v="47"/>
  </r>
  <r>
    <x v="215"/>
    <s v="Braga"/>
    <x v="1"/>
    <x v="0"/>
    <x v="36"/>
  </r>
  <r>
    <x v="216"/>
    <s v="Lisboa"/>
    <x v="0"/>
    <x v="0"/>
    <x v="10"/>
  </r>
  <r>
    <x v="217"/>
    <s v="Faro"/>
    <x v="3"/>
    <x v="0"/>
    <x v="6"/>
  </r>
  <r>
    <x v="218"/>
    <s v="Porto"/>
    <x v="1"/>
    <x v="0"/>
    <x v="2"/>
  </r>
  <r>
    <x v="219"/>
    <s v="Braga"/>
    <x v="0"/>
    <x v="0"/>
    <x v="26"/>
  </r>
  <r>
    <x v="220"/>
    <s v="Porto"/>
    <x v="1"/>
    <x v="0"/>
    <x v="28"/>
  </r>
  <r>
    <x v="221"/>
    <s v="Setúbal"/>
    <x v="0"/>
    <x v="0"/>
    <x v="6"/>
  </r>
  <r>
    <x v="222"/>
    <s v="Braga"/>
    <x v="0"/>
    <x v="0"/>
    <x v="0"/>
  </r>
  <r>
    <x v="223"/>
    <s v="Porto"/>
    <x v="3"/>
    <x v="0"/>
    <x v="14"/>
  </r>
  <r>
    <x v="224"/>
    <s v="Aveiro"/>
    <x v="1"/>
    <x v="0"/>
    <x v="6"/>
  </r>
  <r>
    <x v="225"/>
    <s v="Setúbal"/>
    <x v="0"/>
    <x v="0"/>
    <x v="1"/>
  </r>
  <r>
    <x v="226"/>
    <s v="Porto"/>
    <x v="1"/>
    <x v="1"/>
    <x v="13"/>
  </r>
  <r>
    <x v="227"/>
    <s v="Braga"/>
    <x v="3"/>
    <x v="0"/>
    <x v="29"/>
  </r>
  <r>
    <x v="228"/>
    <s v="Madeira"/>
    <x v="0"/>
    <x v="0"/>
    <x v="10"/>
  </r>
  <r>
    <x v="229"/>
    <s v="Faro"/>
    <x v="1"/>
    <x v="1"/>
    <x v="4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s v="Adriana Rodrigues"/>
    <s v="Aveiro"/>
    <x v="0"/>
    <s v="F"/>
    <n v="46"/>
    <m/>
    <n v="1"/>
  </r>
  <r>
    <s v="Aida Carvalho"/>
    <s v="Guarda"/>
    <x v="1"/>
    <s v="F"/>
    <n v="50"/>
    <m/>
    <n v="1"/>
  </r>
  <r>
    <s v="Alberto Fonseca"/>
    <s v="Porto"/>
    <x v="0"/>
    <s v="M"/>
    <n v="53"/>
    <n v="1"/>
    <m/>
  </r>
  <r>
    <s v="Alberto Machado"/>
    <s v="Porto"/>
    <x v="0"/>
    <s v="M"/>
    <n v="48"/>
    <n v="1"/>
    <m/>
  </r>
  <r>
    <s v="Alexandre Poço"/>
    <s v="Lisboa"/>
    <x v="0"/>
    <s v="M"/>
    <n v="34"/>
    <n v="1"/>
    <m/>
  </r>
  <r>
    <s v="Alfredo Maia"/>
    <s v="Porto"/>
    <x v="2"/>
    <s v="M"/>
    <n v="64"/>
    <n v="1"/>
    <m/>
  </r>
  <r>
    <s v="Almiro Moreira"/>
    <s v="Aveiro"/>
    <x v="0"/>
    <s v="M"/>
    <n v="52"/>
    <n v="1"/>
    <m/>
  </r>
  <r>
    <s v="Amílcar Almeida"/>
    <s v="Vila Real"/>
    <x v="0"/>
    <s v="M"/>
    <n v="61"/>
    <n v="1"/>
    <m/>
  </r>
  <r>
    <s v="Ana Bernardo"/>
    <s v="Lisboa"/>
    <x v="1"/>
    <s v="F"/>
    <n v="58"/>
    <m/>
    <n v="1"/>
  </r>
  <r>
    <s v="Ana Gabriela Cabilhas"/>
    <s v="Porto"/>
    <x v="0"/>
    <s v="F"/>
    <n v="29"/>
    <m/>
    <n v="1"/>
  </r>
  <r>
    <s v="Ana Isabel Ferreira"/>
    <s v="Porto"/>
    <x v="0"/>
    <s v="F"/>
    <n v="47"/>
    <m/>
    <n v="1"/>
  </r>
  <r>
    <s v="Ana Martins"/>
    <s v="Açores"/>
    <x v="3"/>
    <s v="F"/>
    <n v="48"/>
    <m/>
    <n v="1"/>
  </r>
  <r>
    <s v="Ana Oliveira"/>
    <s v="Coimbra"/>
    <x v="0"/>
    <s v="F"/>
    <n v="42"/>
    <m/>
    <n v="1"/>
  </r>
  <r>
    <s v="Ana Silveira"/>
    <s v="Vila Real"/>
    <x v="0"/>
    <s v="F"/>
    <n v="55"/>
    <m/>
    <n v="1"/>
  </r>
  <r>
    <s v="André Pinotes Batista"/>
    <s v="Setúbal"/>
    <x v="1"/>
    <s v="M"/>
    <n v="42"/>
    <n v="1"/>
    <m/>
  </r>
  <r>
    <s v="André Rijo"/>
    <s v="Lisboa"/>
    <x v="1"/>
    <s v="M"/>
    <n v="42"/>
    <n v="1"/>
    <m/>
  </r>
  <r>
    <s v="André Ventura"/>
    <s v="Lisboa"/>
    <x v="3"/>
    <s v="M"/>
    <n v="43"/>
    <n v="1"/>
    <m/>
  </r>
  <r>
    <s v="Andreia Neto"/>
    <s v="Porto"/>
    <x v="0"/>
    <s v="F"/>
    <n v="46"/>
    <m/>
    <n v="1"/>
  </r>
  <r>
    <s v="Angélique Da Teresa"/>
    <s v="Lisboa"/>
    <x v="4"/>
    <s v="F"/>
    <n v="49"/>
    <m/>
    <n v="1"/>
  </r>
  <r>
    <s v="António Carneiro"/>
    <s v="Beja"/>
    <x v="3"/>
    <s v="M"/>
    <n v="57"/>
    <n v="1"/>
    <m/>
  </r>
  <r>
    <s v="António Mendonça Mendes"/>
    <s v="Setúbal"/>
    <x v="1"/>
    <s v="M"/>
    <n v="50"/>
    <n v="1"/>
    <m/>
  </r>
  <r>
    <s v="António Rodrigues"/>
    <s v="Lisboa"/>
    <x v="0"/>
    <s v="M"/>
    <n v="68"/>
    <n v="1"/>
    <m/>
  </r>
  <r>
    <s v="Armando Grave"/>
    <s v="Aveiro"/>
    <x v="3"/>
    <s v="M"/>
    <n v="70"/>
    <n v="1"/>
    <m/>
  </r>
  <r>
    <s v="Armando Mourisco"/>
    <s v="Viseu"/>
    <x v="1"/>
    <s v="M"/>
    <n v="57"/>
    <n v="1"/>
    <m/>
  </r>
  <r>
    <s v="Bárbara do Amaral Correia"/>
    <s v="Faro"/>
    <x v="0"/>
    <s v="F"/>
    <n v="34"/>
    <m/>
    <n v="1"/>
  </r>
  <r>
    <s v="Bernardo Pessanha"/>
    <s v="Viseu"/>
    <x v="3"/>
    <s v="M"/>
    <n v="43"/>
    <n v="1"/>
    <m/>
  </r>
  <r>
    <s v="Bruno Faria"/>
    <s v="Viseu"/>
    <x v="0"/>
    <s v="M"/>
    <n v="30"/>
    <n v="1"/>
    <m/>
  </r>
  <r>
    <s v="Bruno Nunes"/>
    <s v="Lisboa"/>
    <x v="3"/>
    <s v="M"/>
    <n v="50"/>
    <n v="1"/>
    <m/>
  </r>
  <r>
    <s v="Bruno Ventura"/>
    <s v="Lisboa"/>
    <x v="0"/>
    <s v="M"/>
    <n v="46"/>
    <n v="1"/>
    <m/>
  </r>
  <r>
    <s v="Bruno Vitorino"/>
    <s v="Setúbal"/>
    <x v="0"/>
    <s v="M"/>
    <n v="55"/>
    <n v="1"/>
    <m/>
  </r>
  <r>
    <s v="Carla Barros"/>
    <s v="Porto"/>
    <x v="0"/>
    <s v="F"/>
    <n v="46"/>
    <m/>
    <n v="1"/>
  </r>
  <r>
    <s v="Carlos Alberto Gonçalves"/>
    <s v="Europa"/>
    <x v="0"/>
    <s v="M"/>
    <n v="65"/>
    <n v="1"/>
    <m/>
  </r>
  <r>
    <s v="Carlos Barbosa"/>
    <s v="Braga"/>
    <x v="3"/>
    <s v="M"/>
    <n v="45"/>
    <n v="1"/>
    <m/>
  </r>
  <r>
    <s v="Carlos Cação"/>
    <s v="Braga"/>
    <x v="0"/>
    <s v="M"/>
    <n v="41"/>
    <n v="1"/>
    <m/>
  </r>
  <r>
    <s v="Carlos Guimarães Pinto"/>
    <s v="Porto"/>
    <x v="4"/>
    <s v="M"/>
    <n v="43"/>
    <n v="1"/>
    <m/>
  </r>
  <r>
    <s v="Carlos Pereira"/>
    <s v="Setúbal"/>
    <x v="1"/>
    <s v="M"/>
    <n v="57"/>
    <n v="1"/>
    <m/>
  </r>
  <r>
    <s v="Carlos Silva Santiago"/>
    <s v="Viseu"/>
    <x v="0"/>
    <s v="M"/>
    <n v="49"/>
    <n v="1"/>
    <m/>
  </r>
  <r>
    <s v="Carolina Marques"/>
    <s v="Aveiro"/>
    <x v="0"/>
    <s v="F"/>
    <n v="29"/>
    <m/>
    <n v="1"/>
  </r>
  <r>
    <s v="Catarina Louro"/>
    <s v="Leiria"/>
    <x v="1"/>
    <s v="F"/>
    <n v="43"/>
    <m/>
    <n v="1"/>
  </r>
  <r>
    <s v="Catarina Salgueiro"/>
    <s v="Santarém"/>
    <x v="3"/>
    <s v="F"/>
    <n v="62"/>
    <m/>
    <n v="1"/>
  </r>
  <r>
    <s v="Célia Freire"/>
    <s v="Leiria"/>
    <x v="0"/>
    <s v="F"/>
    <n v="53"/>
    <m/>
    <n v="1"/>
  </r>
  <r>
    <s v="Cláudia Estêvão"/>
    <s v="Setúbal"/>
    <x v="3"/>
    <s v="F"/>
    <n v="52"/>
    <m/>
    <n v="1"/>
  </r>
  <r>
    <s v="Cristina Rodrigues"/>
    <s v="Porto"/>
    <x v="3"/>
    <s v="F"/>
    <n v="41"/>
    <m/>
    <n v="1"/>
  </r>
  <r>
    <s v="Cristina Vieira Henriques"/>
    <s v="Leiria"/>
    <x v="3"/>
    <s v="F"/>
    <n v="63"/>
    <m/>
    <n v="1"/>
  </r>
  <r>
    <s v="Cristóvão Norte"/>
    <s v="Faro"/>
    <x v="0"/>
    <s v="M"/>
    <n v="50"/>
    <n v="1"/>
    <m/>
  </r>
  <r>
    <s v="Dália Miranda"/>
    <s v="Porto"/>
    <x v="1"/>
    <s v="F"/>
    <n v="49"/>
    <m/>
    <n v="1"/>
  </r>
  <r>
    <s v="Daniel Teixeira"/>
    <s v="Setúbal"/>
    <x v="3"/>
    <s v="M"/>
    <n v="31"/>
    <n v="1"/>
    <m/>
  </r>
  <r>
    <s v="Davide Amado"/>
    <s v="Lisboa"/>
    <x v="1"/>
    <s v="M"/>
    <n v="47"/>
    <n v="1"/>
    <m/>
  </r>
  <r>
    <s v="Diogo Pacheco de Amorim"/>
    <s v="Porto"/>
    <x v="3"/>
    <s v="M"/>
    <n v="77"/>
    <n v="1"/>
    <m/>
  </r>
  <r>
    <s v="Dulcineia Catarina Moura"/>
    <s v="Guarda"/>
    <x v="0"/>
    <s v="F"/>
    <n v="46"/>
    <m/>
    <n v="1"/>
  </r>
  <r>
    <s v="Edite Estrela"/>
    <s v="Lisboa"/>
    <x v="1"/>
    <s v="F"/>
    <n v="54"/>
    <m/>
    <n v="1"/>
  </r>
  <r>
    <s v="Eduardo Pinheiro"/>
    <s v="Porto"/>
    <x v="1"/>
    <s v="M"/>
    <n v="52"/>
    <n v="1"/>
    <m/>
  </r>
  <r>
    <s v="Eduardo Teixeira"/>
    <s v="Viana do Castelo"/>
    <x v="3"/>
    <s v="M"/>
    <n v="68"/>
    <n v="1"/>
    <m/>
  </r>
  <r>
    <s v="Eliseu Neves"/>
    <s v="Coimbra"/>
    <x v="3"/>
    <s v="M"/>
    <n v="66"/>
    <n v="1"/>
    <m/>
  </r>
  <r>
    <s v="Elza Pais"/>
    <s v="Viseu"/>
    <x v="1"/>
    <s v="F"/>
    <n v="61"/>
    <m/>
    <n v="1"/>
  </r>
  <r>
    <s v="Emanuel Câmara"/>
    <s v="Madeira"/>
    <x v="1"/>
    <s v="M"/>
    <n v="54"/>
    <n v="1"/>
    <m/>
  </r>
  <r>
    <s v="Emídio Guerreiro"/>
    <s v="Braga"/>
    <x v="0"/>
    <s v="M"/>
    <n v="64"/>
    <n v="1"/>
    <m/>
  </r>
  <r>
    <s v="Eurico Brilhante Dias"/>
    <s v="Leiria"/>
    <x v="1"/>
    <s v="M"/>
    <n v="27"/>
    <n v="1"/>
    <m/>
  </r>
  <r>
    <s v="Eurídice Pereira"/>
    <s v="Setúbal"/>
    <x v="1"/>
    <s v="F"/>
    <n v="47"/>
    <m/>
    <n v="1"/>
  </r>
  <r>
    <s v="Eva Brás Pinho"/>
    <s v="Lisboa"/>
    <x v="0"/>
    <s v="F"/>
    <n v="77"/>
    <m/>
    <n v="1"/>
  </r>
  <r>
    <s v="Eva Cruzeiro"/>
    <s v="Lisboa"/>
    <x v="1"/>
    <s v="F"/>
    <n v="38"/>
    <m/>
    <n v="1"/>
  </r>
  <r>
    <s v="Fabian Figueiredo"/>
    <s v="Lisboa"/>
    <x v="5"/>
    <s v="M"/>
    <n v="37"/>
    <n v="1"/>
    <m/>
  </r>
  <r>
    <s v="Felicidade Vital"/>
    <s v="Lisboa"/>
    <x v="3"/>
    <s v="F"/>
    <n v="61"/>
    <m/>
    <n v="1"/>
  </r>
  <r>
    <s v="Fernando Queiroga"/>
    <s v="Vila Real"/>
    <x v="0"/>
    <s v="M"/>
    <n v="57"/>
    <n v="1"/>
    <m/>
  </r>
  <r>
    <s v="Filipa Pinto"/>
    <s v="Porto"/>
    <x v="6"/>
    <s v="F"/>
    <n v="55"/>
    <m/>
    <n v="1"/>
  </r>
  <r>
    <s v="Filipe Melo"/>
    <s v="Braga"/>
    <x v="3"/>
    <s v="M"/>
    <n v="45"/>
    <n v="1"/>
    <m/>
  </r>
  <r>
    <s v="Filipe Neto Brandão"/>
    <s v="Aveiro"/>
    <x v="1"/>
    <s v="M"/>
    <n v="58"/>
    <n v="1"/>
    <m/>
  </r>
  <r>
    <s v="Filipe Sousa"/>
    <s v="Madeira"/>
    <x v="7"/>
    <s v="M"/>
    <n v="62"/>
    <n v="1"/>
    <m/>
  </r>
  <r>
    <s v="Firmino Ferreira"/>
    <s v="Aveiro"/>
    <x v="0"/>
    <s v="M"/>
    <n v="60"/>
    <n v="1"/>
    <m/>
  </r>
  <r>
    <s v="Francisco César"/>
    <s v="Açores"/>
    <x v="1"/>
    <s v="M"/>
    <n v="48"/>
    <n v="1"/>
    <m/>
  </r>
  <r>
    <s v="Francisco Covelinhas Lopes"/>
    <s v="Porto"/>
    <x v="0"/>
    <s v="M"/>
    <n v="52"/>
    <n v="1"/>
    <m/>
  </r>
  <r>
    <s v="Francisco Figueira"/>
    <s v="Évora"/>
    <x v="0"/>
    <s v="M"/>
    <n v="46"/>
    <n v="1"/>
    <m/>
  </r>
  <r>
    <s v="Francisco Gomes"/>
    <s v="Madeira"/>
    <x v="3"/>
    <s v="M"/>
    <n v="46"/>
    <n v="1"/>
    <m/>
  </r>
  <r>
    <s v="Francisco José Martins"/>
    <s v="Lisboa"/>
    <x v="0"/>
    <s v="M"/>
    <n v="74"/>
    <n v="1"/>
    <m/>
  </r>
  <r>
    <s v="Francisco Pimentel"/>
    <s v="Açores"/>
    <x v="0"/>
    <s v="M"/>
    <n v="67"/>
    <n v="1"/>
    <m/>
  </r>
  <r>
    <s v="Francisco Sousa Vieira"/>
    <s v="Porto"/>
    <x v="0"/>
    <s v="M"/>
    <n v="33"/>
    <n v="1"/>
    <m/>
  </r>
  <r>
    <s v="Frederico Francisco"/>
    <s v="Lisboa"/>
    <x v="1"/>
    <s v="M"/>
    <n v="40"/>
    <n v="1"/>
    <m/>
  </r>
  <r>
    <s v="Germana Rocha"/>
    <s v="Porto"/>
    <x v="0"/>
    <s v="F"/>
    <n v="58"/>
    <m/>
    <n v="1"/>
  </r>
  <r>
    <s v="Gonçalo Dinis Capitão"/>
    <s v="Porto"/>
    <x v="0"/>
    <s v="M"/>
    <n v="55"/>
    <n v="1"/>
    <m/>
  </r>
  <r>
    <s v="Gonçalo Lage"/>
    <s v="Lisboa"/>
    <x v="0"/>
    <s v="M"/>
    <n v="46"/>
    <n v="1"/>
    <m/>
  </r>
  <r>
    <s v="Gonçalo Valente"/>
    <s v="Beja"/>
    <x v="0"/>
    <s v="M"/>
    <n v="46"/>
    <n v="1"/>
    <m/>
  </r>
  <r>
    <s v="Helga Correia"/>
    <s v="Aveiro"/>
    <x v="0"/>
    <s v="F"/>
    <n v="49"/>
    <m/>
    <n v="1"/>
  </r>
  <r>
    <s v="Hernâni Dias"/>
    <s v="Bragança"/>
    <x v="0"/>
    <s v="M"/>
    <n v="59"/>
    <n v="1"/>
    <m/>
  </r>
  <r>
    <s v="Hernâni Loureiro"/>
    <s v="Braga"/>
    <x v="1"/>
    <s v="M"/>
    <n v="46"/>
    <n v="1"/>
    <m/>
  </r>
  <r>
    <s v="Hugo Carneiro"/>
    <s v="Porto"/>
    <x v="0"/>
    <s v="M"/>
    <n v="44"/>
    <n v="1"/>
    <m/>
  </r>
  <r>
    <s v="Hugo Costa"/>
    <s v="Santarém"/>
    <x v="1"/>
    <s v="M"/>
    <n v="43"/>
    <n v="1"/>
    <m/>
  </r>
  <r>
    <s v="Hugo Oliveira"/>
    <s v="Aveiro"/>
    <x v="1"/>
    <s v="M"/>
    <n v="44"/>
    <n v="1"/>
    <m/>
  </r>
  <r>
    <s v="Hugo Patrício Oliveira"/>
    <s v="Leiria"/>
    <x v="0"/>
    <s v="M"/>
    <n v="52"/>
    <n v="1"/>
    <m/>
  </r>
  <r>
    <s v="Hugo Soares"/>
    <s v="Braga"/>
    <x v="0"/>
    <s v="M"/>
    <n v="43"/>
    <n v="1"/>
    <m/>
  </r>
  <r>
    <s v="Humberto Brito"/>
    <s v="Porto"/>
    <x v="1"/>
    <s v="M"/>
    <n v="53"/>
    <n v="1"/>
    <m/>
  </r>
  <r>
    <s v="Idalina Durães"/>
    <s v="Porto"/>
    <x v="3"/>
    <s v="F"/>
    <n v="62"/>
    <m/>
    <n v="1"/>
  </r>
  <r>
    <s v="Inês Barroso"/>
    <s v="Santarém"/>
    <x v="0"/>
    <s v="F"/>
    <n v="61"/>
    <m/>
    <n v="1"/>
  </r>
  <r>
    <s v="Inês de Sousa Real"/>
    <s v="Lisboa"/>
    <x v="8"/>
    <s v="F"/>
    <n v="46"/>
    <m/>
    <n v="1"/>
  </r>
  <r>
    <s v="Irene Costa"/>
    <s v="Braga"/>
    <x v="1"/>
    <s v="F"/>
    <n v="54"/>
    <m/>
    <n v="1"/>
  </r>
  <r>
    <s v="Isabel Alves Moreira"/>
    <s v="Lisboa"/>
    <x v="1"/>
    <s v="F"/>
    <n v="50"/>
    <m/>
    <n v="1"/>
  </r>
  <r>
    <s v="Isabel Fernandes"/>
    <s v="Viseu"/>
    <x v="0"/>
    <s v="F"/>
    <n v="52"/>
    <m/>
    <n v="1"/>
  </r>
  <r>
    <s v="Isabel Mendes Lopes"/>
    <s v="Lisboa"/>
    <x v="6"/>
    <s v="F"/>
    <n v="44"/>
    <m/>
    <n v="1"/>
  </r>
  <r>
    <s v="Isaura Morais"/>
    <s v="Santarém"/>
    <x v="0"/>
    <s v="F"/>
    <n v="60"/>
    <m/>
    <n v="1"/>
  </r>
  <r>
    <s v="Joana Cordeiro"/>
    <s v="Setúbal"/>
    <x v="4"/>
    <s v="F"/>
    <n v="42"/>
    <m/>
    <n v="1"/>
  </r>
  <r>
    <s v="Joana Lima"/>
    <s v="Porto"/>
    <x v="1"/>
    <s v="F"/>
    <n v="63"/>
    <m/>
    <n v="1"/>
  </r>
  <r>
    <s v="Joana Seabra"/>
    <s v="Coimbra"/>
    <x v="0"/>
    <s v="F"/>
    <n v="63"/>
    <m/>
    <n v="1"/>
  </r>
  <r>
    <s v="João Antunes dos Santos"/>
    <s v="Leiria"/>
    <x v="0"/>
    <s v="M"/>
    <n v="52"/>
    <n v="1"/>
    <m/>
  </r>
  <r>
    <s v="João Lopes Aleixo"/>
    <s v="Portalegre"/>
    <x v="3"/>
    <s v="M"/>
    <n v="62"/>
    <n v="1"/>
    <m/>
  </r>
  <r>
    <s v="João Paulo Graça"/>
    <s v="Faro"/>
    <x v="3"/>
    <s v="M"/>
    <n v="39"/>
    <n v="1"/>
    <m/>
  </r>
  <r>
    <s v="João Pedro Louro"/>
    <s v="Lisboa"/>
    <x v="0"/>
    <s v="M"/>
    <n v="38"/>
    <n v="1"/>
    <m/>
  </r>
  <r>
    <s v="João Pinho de Almeida"/>
    <s v="Porto"/>
    <x v="9"/>
    <s v="M"/>
    <n v="42"/>
    <n v="1"/>
    <m/>
  </r>
  <r>
    <s v="João Ribeiro"/>
    <s v="Castelo Branco"/>
    <x v="3"/>
    <s v="M"/>
    <n v="54"/>
    <n v="1"/>
    <m/>
  </r>
  <r>
    <s v="João Tilly"/>
    <s v="Viseu"/>
    <x v="3"/>
    <s v="M"/>
    <n v="39"/>
    <n v="1"/>
    <m/>
  </r>
  <r>
    <s v="João Torres"/>
    <s v="Porto"/>
    <x v="1"/>
    <s v="M"/>
    <n v="66"/>
    <n v="1"/>
    <m/>
  </r>
  <r>
    <s v="Joaquim Barbosa"/>
    <s v="Braga"/>
    <x v="0"/>
    <s v="M"/>
    <n v="36"/>
    <n v="1"/>
    <m/>
  </r>
  <r>
    <s v="Jorge Galveias"/>
    <s v="Évora"/>
    <x v="3"/>
    <s v="M"/>
    <n v="53"/>
    <n v="1"/>
    <m/>
  </r>
  <r>
    <s v="Jorge Miguel Teixeira"/>
    <s v="Lisboa"/>
    <x v="4"/>
    <s v="M"/>
    <n v="32"/>
    <n v="1"/>
    <m/>
  </r>
  <r>
    <s v="Jorge Pinto"/>
    <s v="Porto"/>
    <x v="6"/>
    <s v="M"/>
    <n v="50"/>
    <n v="1"/>
    <m/>
  </r>
  <r>
    <s v="José Barreira Soares"/>
    <s v="Lisboa"/>
    <x v="3"/>
    <s v="M"/>
    <n v="40"/>
    <n v="1"/>
    <m/>
  </r>
  <r>
    <s v="José Carlos Barbosa"/>
    <s v="Porto"/>
    <x v="1"/>
    <s v="M"/>
    <n v="74"/>
    <n v="1"/>
    <m/>
  </r>
  <r>
    <s v="José Carvalho"/>
    <s v="Porto"/>
    <x v="3"/>
    <s v="M"/>
    <n v="32"/>
    <n v="1"/>
    <m/>
  </r>
  <r>
    <s v="José Cesário"/>
    <s v="Fora da Europa"/>
    <x v="0"/>
    <s v="M"/>
    <n v="47"/>
    <n v="1"/>
    <m/>
  </r>
  <r>
    <s v="José Dias Fernandes"/>
    <s v="Europa"/>
    <x v="3"/>
    <s v="M"/>
    <n v="31"/>
    <n v="1"/>
    <m/>
  </r>
  <r>
    <s v="José Dotti"/>
    <s v="Santarém"/>
    <x v="3"/>
    <s v="M"/>
    <n v="43"/>
    <n v="1"/>
    <m/>
  </r>
  <r>
    <s v="José Lago Gonçalves"/>
    <s v="Viana do Castelo"/>
    <x v="0"/>
    <s v="M"/>
    <n v="68"/>
    <n v="1"/>
    <m/>
  </r>
  <r>
    <s v="José Luís Carneiro"/>
    <s v="Braga"/>
    <x v="1"/>
    <s v="M"/>
    <n v="67"/>
    <n v="1"/>
    <m/>
  </r>
  <r>
    <s v="José Pedro Aguiar-Branco"/>
    <s v="Viana do Castelo"/>
    <x v="0"/>
    <s v="M"/>
    <n v="63"/>
    <n v="1"/>
    <m/>
  </r>
  <r>
    <s v="Júlia Rodrigues"/>
    <s v="Bragança"/>
    <x v="1"/>
    <s v="F"/>
    <n v="55"/>
    <m/>
    <n v="1"/>
  </r>
  <r>
    <s v="Leandro Ferreira Luís"/>
    <s v="Braga"/>
    <x v="0"/>
    <s v="M"/>
    <n v="50"/>
    <n v="1"/>
    <m/>
  </r>
  <r>
    <s v="Leonor Cipriano"/>
    <s v="Castelo Branco"/>
    <x v="0"/>
    <s v="F"/>
    <n v="64"/>
    <m/>
    <n v="1"/>
  </r>
  <r>
    <s v="Lia Ferreira"/>
    <s v="Aveiro"/>
    <x v="1"/>
    <s v="F"/>
    <n v="69"/>
    <m/>
    <n v="1"/>
  </r>
  <r>
    <s v="Liliana Fidalgo"/>
    <s v="Lisboa_x000a_"/>
    <x v="0"/>
    <s v="F"/>
    <n v="55"/>
    <m/>
    <n v="1"/>
  </r>
  <r>
    <s v="Liliana Sousa"/>
    <s v="Leiria"/>
    <x v="0"/>
    <s v="F"/>
    <n v="27"/>
    <m/>
    <n v="1"/>
  </r>
  <r>
    <s v="Lina Pinheiro"/>
    <s v="Braga"/>
    <x v="3"/>
    <s v="F"/>
    <n v="62"/>
    <m/>
    <n v="1"/>
  </r>
  <r>
    <s v="Luís Dias"/>
    <s v="Évora"/>
    <x v="1"/>
    <s v="M"/>
    <n v="46"/>
    <n v="1"/>
    <m/>
  </r>
  <r>
    <s v="Luís Graça"/>
    <s v="Faro"/>
    <x v="1"/>
    <s v="M"/>
    <n v="48"/>
    <n v="1"/>
    <m/>
  </r>
  <r>
    <s v="Luís Moreira Testa"/>
    <s v="Portalegre"/>
    <x v="1"/>
    <s v="M"/>
    <n v="35"/>
    <n v="1"/>
    <m/>
  </r>
  <r>
    <s v="Luís Paulo Fernandes"/>
    <s v="Leiria"/>
    <x v="3"/>
    <s v="M"/>
    <n v="34"/>
    <n v="1"/>
    <m/>
  </r>
  <r>
    <s v="Madalena Cordeiro"/>
    <s v="Lisboa"/>
    <x v="3"/>
    <s v="F"/>
    <n v="43"/>
    <m/>
    <n v="1"/>
  </r>
  <r>
    <s v="Manuel Magno"/>
    <s v="Fora da Europa"/>
    <x v="3"/>
    <s v="M"/>
    <n v="48"/>
    <n v="1"/>
    <m/>
  </r>
  <r>
    <s v="Manuela Carvalho"/>
    <s v="Viana do Castelo"/>
    <x v="0"/>
    <s v="F"/>
    <n v="54"/>
    <m/>
    <n v="1"/>
  </r>
  <r>
    <s v="Manuela Tender"/>
    <s v="Vila Real"/>
    <x v="3"/>
    <s v="F"/>
    <n v="50"/>
    <m/>
    <n v="1"/>
  </r>
  <r>
    <s v="Marco Claudino"/>
    <s v="Lisboa"/>
    <x v="0"/>
    <s v="M"/>
    <n v="23"/>
    <n v="1"/>
    <m/>
  </r>
  <r>
    <s v="Marcos Perestrello"/>
    <s v="Santarém"/>
    <x v="1"/>
    <s v="M"/>
    <n v="62"/>
    <n v="1"/>
    <m/>
  </r>
  <r>
    <s v="Marcus Santos"/>
    <s v="Porto"/>
    <x v="3"/>
    <s v="M"/>
    <n v="78"/>
    <n v="1"/>
    <m/>
  </r>
  <r>
    <s v="Margarida Afonso"/>
    <s v="Setúbal"/>
    <x v="1"/>
    <s v="F"/>
    <n v="43"/>
    <m/>
    <n v="1"/>
  </r>
  <r>
    <s v="Margarida Saavedra"/>
    <s v="Lisboa"/>
    <x v="0"/>
    <s v="F"/>
    <n v="55"/>
    <m/>
    <n v="1"/>
  </r>
  <r>
    <s v="Maria José Aguiar"/>
    <s v="Aveiro"/>
    <x v="3"/>
    <s v="F"/>
    <n v="47"/>
    <m/>
    <n v="1"/>
  </r>
  <r>
    <s v="Mariana Leitão"/>
    <s v="Lisboa"/>
    <x v="4"/>
    <s v="F"/>
    <n v="46"/>
    <m/>
    <n v="1"/>
  </r>
  <r>
    <s v="Mariana Vieira da Silva"/>
    <s v="Lisboa"/>
    <x v="1"/>
    <s v="F"/>
    <n v="74"/>
    <m/>
    <n v="1"/>
  </r>
  <r>
    <s v="Marina Gonçalves"/>
    <s v="Viana do Castelo"/>
    <x v="1"/>
    <s v="F"/>
    <n v="58"/>
    <m/>
    <n v="1"/>
  </r>
  <r>
    <s v="Mário Amorim Lopes"/>
    <s v="Aveiro"/>
    <x v="4"/>
    <s v="M"/>
    <n v="60"/>
    <n v="1"/>
    <m/>
  </r>
  <r>
    <s v="Marta Martins da Silva"/>
    <s v="Lisboa"/>
    <x v="3"/>
    <s v="F"/>
    <n v="55"/>
    <m/>
    <n v="1"/>
  </r>
  <r>
    <s v="Martim Syder"/>
    <s v="Coimbra"/>
    <x v="0"/>
    <s v="M"/>
    <n v="63"/>
    <n v="1"/>
    <m/>
  </r>
  <r>
    <s v="Maurício Marques"/>
    <s v="Coimbra"/>
    <x v="0"/>
    <s v="M"/>
    <n v="64"/>
    <n v="1"/>
    <m/>
  </r>
  <r>
    <s v="Miguel Cabrita"/>
    <s v="Lisboa"/>
    <x v="1"/>
    <s v="M"/>
    <n v="67"/>
    <n v="1"/>
    <m/>
  </r>
  <r>
    <s v="Miguel Guimarães"/>
    <s v="Porto"/>
    <x v="0"/>
    <s v="M"/>
    <n v="44"/>
    <n v="1"/>
    <m/>
  </r>
  <r>
    <s v="Miguel Matos"/>
    <s v="Lisboa"/>
    <x v="1"/>
    <s v="M"/>
    <n v="48"/>
    <n v="1"/>
    <m/>
  </r>
  <r>
    <s v="Miguel Rangel"/>
    <s v="Porto"/>
    <x v="4"/>
    <s v="M"/>
    <n v="38"/>
    <n v="1"/>
    <m/>
  </r>
  <r>
    <s v="Miguel Santos"/>
    <s v="Faro"/>
    <x v="0"/>
    <s v="M"/>
    <n v="42"/>
    <n v="1"/>
    <m/>
  </r>
  <r>
    <s v="Nuna Menezes"/>
    <s v="Açores"/>
    <x v="0"/>
    <s v="F"/>
    <n v="47"/>
    <m/>
    <n v="1"/>
  </r>
  <r>
    <s v="Nuno Fazenda"/>
    <s v="Castelo Branco"/>
    <x v="1"/>
    <s v="M"/>
    <n v="31"/>
    <n v="1"/>
    <m/>
  </r>
  <r>
    <s v="Nuno Gabriel"/>
    <s v="Setúbal"/>
    <x v="3"/>
    <s v="M"/>
    <n v="68"/>
    <n v="1"/>
    <m/>
  </r>
  <r>
    <s v="Nuno Jorge Gonçalves"/>
    <s v="Bragança"/>
    <x v="0"/>
    <s v="M"/>
    <n v="32"/>
    <n v="1"/>
    <m/>
  </r>
  <r>
    <s v="Nuno Simões de Melo"/>
    <s v="Guarda"/>
    <x v="3"/>
    <s v="M"/>
    <n v="50"/>
    <n v="1"/>
    <m/>
  </r>
  <r>
    <s v="Olga Freire"/>
    <s v="Porto"/>
    <x v="0"/>
    <s v="F"/>
    <n v="51"/>
    <m/>
    <n v="1"/>
  </r>
  <r>
    <s v="Patrícia Almeida"/>
    <s v="Lisboa"/>
    <x v="3"/>
    <s v="F"/>
    <n v="50"/>
    <m/>
    <n v="1"/>
  </r>
  <r>
    <s v="Patrícia Carvalho"/>
    <s v="Setúbal"/>
    <x v="3"/>
    <s v="F"/>
    <n v="55"/>
    <m/>
    <n v="1"/>
  </r>
  <r>
    <s v="Patrícia Faro"/>
    <s v="Porto"/>
    <x v="1"/>
    <s v="F"/>
    <n v="48"/>
    <m/>
    <n v="1"/>
  </r>
  <r>
    <s v="Patrícia Gonçalves"/>
    <s v="Lisboa"/>
    <x v="6"/>
    <s v="F"/>
    <n v="57"/>
    <m/>
    <n v="1"/>
  </r>
  <r>
    <s v="Patrícia Nascimento"/>
    <s v="Porto"/>
    <x v="3"/>
    <s v="F"/>
    <n v="39"/>
    <m/>
    <n v="1"/>
  </r>
  <r>
    <s v="Paula Cardoso"/>
    <s v="Aveiro"/>
    <x v="0"/>
    <s v="F"/>
    <n v="55"/>
    <m/>
    <n v="1"/>
  </r>
  <r>
    <s v="Paula Santos"/>
    <s v="Setúbal"/>
    <x v="2"/>
    <s v="F"/>
    <n v="33"/>
    <m/>
    <n v="1"/>
  </r>
  <r>
    <s v="Paulo Cavaleiro"/>
    <s v="Aveiro"/>
    <x v="0"/>
    <s v="M"/>
    <n v="45"/>
    <n v="1"/>
    <m/>
  </r>
  <r>
    <s v="Paulo Edson Cunha"/>
    <s v="Setúbal"/>
    <x v="0"/>
    <s v="M"/>
    <n v="54"/>
    <n v="1"/>
    <m/>
  </r>
  <r>
    <s v="Paulo Lopes Marcelo"/>
    <s v="Lisboa"/>
    <x v="0"/>
    <s v="M"/>
    <n v="46"/>
    <n v="1"/>
    <m/>
  </r>
  <r>
    <s v="Paulo Lopes Silva"/>
    <s v="Braga"/>
    <x v="1"/>
    <s v="M"/>
    <n v="50"/>
    <n v="1"/>
    <m/>
  </r>
  <r>
    <s v="Paulo Moniz"/>
    <s v="Açores"/>
    <x v="0"/>
    <s v="M"/>
    <n v="57"/>
    <n v="1"/>
    <m/>
  </r>
  <r>
    <s v="Paulo Muacho"/>
    <s v="Setúbal"/>
    <x v="6"/>
    <s v="M"/>
    <n v="59"/>
    <n v="1"/>
    <m/>
  </r>
  <r>
    <s v="Paulo Neves"/>
    <s v="Madeira"/>
    <x v="0"/>
    <s v="M"/>
    <n v="53"/>
    <n v="1"/>
    <m/>
  </r>
  <r>
    <s v="Paulo Núncio"/>
    <s v="Lisboa"/>
    <x v="9"/>
    <s v="M"/>
    <n v="58"/>
    <n v="1"/>
    <m/>
  </r>
  <r>
    <s v="Paulo Raimundo"/>
    <s v="Lisboa"/>
    <x v="2"/>
    <s v="M"/>
    <n v="57"/>
    <n v="1"/>
    <m/>
  </r>
  <r>
    <s v="Paulo Seco"/>
    <s v="Coimbra"/>
    <x v="3"/>
    <s v="M"/>
    <n v="53"/>
    <n v="1"/>
    <m/>
  </r>
  <r>
    <s v="Pedro Alves"/>
    <s v="Viseu"/>
    <x v="0"/>
    <s v="M"/>
    <n v="36"/>
    <n v="1"/>
    <m/>
  </r>
  <r>
    <s v="Pedro Coelho"/>
    <s v="Madeira"/>
    <x v="0"/>
    <s v="M"/>
    <n v="53"/>
    <n v="1"/>
    <m/>
  </r>
  <r>
    <s v="Pedro Coimbra"/>
    <s v="Coimbra"/>
    <x v="1"/>
    <s v="M"/>
    <n v="55"/>
    <n v="1"/>
    <m/>
  </r>
  <r>
    <s v="Pedro Correia"/>
    <s v="Santarém"/>
    <x v="3"/>
    <s v="M"/>
    <n v="39"/>
    <n v="1"/>
    <m/>
  </r>
  <r>
    <s v="Pedro Delgado Alves"/>
    <s v="Coimbra"/>
    <x v="1"/>
    <s v="M"/>
    <n v="52"/>
    <n v="1"/>
    <m/>
  </r>
  <r>
    <s v="Pedro do Carmo"/>
    <s v="Beja"/>
    <x v="1"/>
    <s v="M"/>
    <n v="53"/>
    <n v="1"/>
    <m/>
  </r>
  <r>
    <s v="Pedro dos Santos Frazão"/>
    <s v="Aveiro"/>
    <x v="3"/>
    <s v="M"/>
    <n v="51"/>
    <n v="1"/>
    <m/>
  </r>
  <r>
    <s v="Pedro Pessanha"/>
    <s v="Lisboa"/>
    <x v="3"/>
    <s v="M"/>
    <n v="54"/>
    <n v="1"/>
    <m/>
  </r>
  <r>
    <s v="Pedro Pinto"/>
    <s v="Faro"/>
    <x v="3"/>
    <s v="M"/>
    <n v="46"/>
    <n v="1"/>
    <m/>
  </r>
  <r>
    <s v="Pedro Roque"/>
    <s v="Setúbal"/>
    <x v="0"/>
    <s v="M"/>
    <n v="47"/>
    <n v="1"/>
    <m/>
  </r>
  <r>
    <s v="Pedro Soares Pimenta"/>
    <s v="Lisboa"/>
    <x v="0"/>
    <s v="M"/>
    <n v="60"/>
    <n v="1"/>
    <m/>
  </r>
  <r>
    <s v="Pedro Tavares"/>
    <s v="Aveiro"/>
    <x v="3"/>
    <s v="M"/>
    <n v="49"/>
    <n v="1"/>
    <m/>
  </r>
  <r>
    <s v="Pedro Vaz"/>
    <s v="Lisboa"/>
    <x v="1"/>
    <s v="M"/>
    <n v="51"/>
    <n v="1"/>
    <m/>
  </r>
  <r>
    <s v="Porfírio Silva"/>
    <s v="Porto"/>
    <x v="1"/>
    <s v="M"/>
    <n v="55"/>
    <n v="1"/>
    <m/>
  </r>
  <r>
    <s v="Raul Melo"/>
    <s v="Porto"/>
    <x v="10"/>
    <s v="M"/>
    <n v="50"/>
    <n v="1"/>
    <m/>
  </r>
  <r>
    <s v="Regina Bastos"/>
    <s v="Lisboa"/>
    <x v="0"/>
    <s v="F"/>
    <n v="51"/>
    <m/>
    <n v="1"/>
  </r>
  <r>
    <s v="Ricardo Aires"/>
    <s v="Castelo Branco"/>
    <x v="0"/>
    <s v="M"/>
    <n v="65"/>
    <n v="1"/>
    <m/>
  </r>
  <r>
    <s v="Ricardo Barroso"/>
    <s v="Braga"/>
    <x v="0"/>
    <s v="M"/>
    <n v="57"/>
    <n v="1"/>
    <m/>
  </r>
  <r>
    <s v="Ricardo Carlos"/>
    <s v="Santarém"/>
    <x v="0"/>
    <s v="M"/>
    <n v="66"/>
    <n v="1"/>
    <m/>
  </r>
  <r>
    <s v="Ricardo Carvalho"/>
    <s v="Leiria"/>
    <x v="0"/>
    <s v="M"/>
    <n v="42"/>
    <n v="1"/>
    <m/>
  </r>
  <r>
    <s v="Ricardo Dias Pinto"/>
    <s v="Lisboa"/>
    <x v="3"/>
    <s v="M"/>
    <n v="45"/>
    <n v="1"/>
    <m/>
  </r>
  <r>
    <s v="Ricardo Lima"/>
    <s v="Lisboa"/>
    <x v="1"/>
    <s v="M"/>
    <n v="37"/>
    <n v="1"/>
    <m/>
  </r>
  <r>
    <s v="Ricardo Lopes Reis"/>
    <s v="Setúbal"/>
    <x v="3"/>
    <s v="M"/>
    <n v="58"/>
    <n v="1"/>
    <m/>
  </r>
  <r>
    <s v="Ricardo Moreira"/>
    <s v="Faro"/>
    <x v="3"/>
    <s v="M"/>
    <n v="54"/>
    <n v="1"/>
    <m/>
  </r>
  <r>
    <s v="Ricardo Oliveira"/>
    <s v="Santarém"/>
    <x v="0"/>
    <s v="M"/>
    <n v="30"/>
    <n v="1"/>
    <m/>
  </r>
  <r>
    <s v="Rita Matias"/>
    <s v="Setúbal"/>
    <x v="3"/>
    <s v="F"/>
    <n v="43"/>
    <m/>
    <n v="1"/>
  </r>
  <r>
    <s v="Rodrigo Alves Taxa"/>
    <s v="Braga"/>
    <x v="3"/>
    <s v="M"/>
    <n v="27"/>
    <n v="1"/>
    <m/>
  </r>
  <r>
    <s v="Rodrigo Saraiva"/>
    <s v="Lisboa"/>
    <x v="4"/>
    <s v="M"/>
    <n v="28"/>
    <n v="1"/>
    <m/>
  </r>
  <r>
    <s v="Rosa Isabel Cruz"/>
    <s v="Coimbra"/>
    <x v="1"/>
    <s v="F"/>
    <n v="50"/>
    <m/>
    <n v="1"/>
  </r>
  <r>
    <s v="Rui Afonso"/>
    <s v="Porto"/>
    <x v="3"/>
    <s v="M"/>
    <n v="37"/>
    <n v="1"/>
    <m/>
  </r>
  <r>
    <s v="Rui Cardoso"/>
    <s v="Lisboa"/>
    <x v="3"/>
    <s v="M"/>
    <n v="56"/>
    <n v="1"/>
    <m/>
  </r>
  <r>
    <s v="Rui Fernandes"/>
    <s v="Leiria"/>
    <x v="3"/>
    <s v="M"/>
    <n v="34"/>
    <n v="1"/>
    <m/>
  </r>
  <r>
    <s v="Rui Jorge Santos"/>
    <s v="Vila Real"/>
    <x v="1"/>
    <s v="M"/>
    <n v="57"/>
    <n v="1"/>
    <m/>
  </r>
  <r>
    <s v="Rui Paulo Sousa"/>
    <s v="Lisboa"/>
    <x v="3"/>
    <s v="M"/>
    <n v="60"/>
    <n v="1"/>
    <m/>
  </r>
  <r>
    <s v="Rui Rocha"/>
    <s v="Braga"/>
    <x v="4"/>
    <s v="M"/>
    <n v="24"/>
    <n v="1"/>
    <m/>
  </r>
  <r>
    <s v="Rui Rocha Pereira"/>
    <s v="Porto"/>
    <x v="0"/>
    <s v="M"/>
    <n v="54"/>
    <n v="1"/>
    <m/>
  </r>
  <r>
    <s v="Rui Tavares"/>
    <s v="Lisboa"/>
    <x v="6"/>
    <s v="M"/>
    <n v="56"/>
    <n v="1"/>
    <m/>
  </r>
  <r>
    <s v="Sandra Lopes"/>
    <s v="Braga"/>
    <x v="1"/>
    <s v="F"/>
    <n v="59"/>
    <m/>
    <n v="1"/>
  </r>
  <r>
    <s v="Sandra Pereira"/>
    <s v="Lisboa"/>
    <x v="0"/>
    <s v="F"/>
    <n v="47"/>
    <m/>
    <n v="1"/>
  </r>
  <r>
    <s v="Sandra Ribeiro"/>
    <s v="Faro"/>
    <x v="3"/>
    <s v="F"/>
    <n v="52"/>
    <m/>
    <n v="1"/>
  </r>
  <r>
    <s v="Sofia Andrade"/>
    <s v="Porto"/>
    <x v="1"/>
    <s v="F"/>
    <n v="53"/>
    <m/>
    <n v="1"/>
  </r>
  <r>
    <s v="Sofia Machado Fernandes"/>
    <s v="Braga"/>
    <x v="0"/>
    <s v="F"/>
    <n v="54"/>
    <m/>
    <n v="1"/>
  </r>
  <r>
    <s v="Sofia Pereira"/>
    <s v="Porto"/>
    <x v="1"/>
    <s v="F"/>
    <n v="27"/>
    <m/>
    <n v="1"/>
  </r>
  <r>
    <s v="Sonia dos Reis"/>
    <s v="Setúbal"/>
    <x v="0"/>
    <s v="F"/>
    <n v="52"/>
    <m/>
    <n v="1"/>
  </r>
  <r>
    <s v="Sónia Margarida Fernandes"/>
    <s v="Braga"/>
    <x v="0"/>
    <s v="F"/>
    <n v="46"/>
    <m/>
    <n v="1"/>
  </r>
  <r>
    <s v="Sónia Monteiro"/>
    <s v="Porto"/>
    <x v="3"/>
    <s v="F"/>
    <n v="49"/>
    <m/>
    <n v="1"/>
  </r>
  <r>
    <s v="Susana Correia"/>
    <s v="Aveiro"/>
    <x v="1"/>
    <s v="F"/>
    <n v="52"/>
    <m/>
    <n v="1"/>
  </r>
  <r>
    <s v="Teresa Morais"/>
    <s v="Setúbal"/>
    <x v="0"/>
    <s v="F"/>
    <n v="50"/>
    <m/>
    <n v="1"/>
  </r>
  <r>
    <s v="Tiago Barbosa Ribeiro"/>
    <s v="Porto"/>
    <x v="1"/>
    <s v="M"/>
    <n v="43"/>
    <n v="1"/>
    <m/>
  </r>
  <r>
    <s v="Vanessa Barata"/>
    <s v="Braga"/>
    <x v="3"/>
    <s v="F"/>
    <n v="38"/>
    <m/>
    <n v="1"/>
  </r>
  <r>
    <s v="Vânia Jesus"/>
    <s v="Madeira"/>
    <x v="0"/>
    <s v="F"/>
    <n v="47"/>
    <m/>
    <n v="1"/>
  </r>
  <r>
    <s v="Vítor Guerreiro"/>
    <s v="Faro"/>
    <x v="1"/>
    <s v="M"/>
    <n v="56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0911F-2B87-498C-9827-6A304F8B335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7" firstHeaderRow="1" firstDataRow="1" firstDataCol="1"/>
  <pivotFields count="5">
    <pivotField dataField="1" showAll="0">
      <items count="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axis="axisRow" showAll="0">
      <items count="24">
        <item x="5"/>
        <item x="0"/>
        <item x="8"/>
        <item x="12"/>
        <item x="18"/>
        <item x="20"/>
        <item x="6"/>
        <item x="11"/>
        <item x="17"/>
        <item x="10"/>
        <item x="21"/>
        <item x="1"/>
        <item x="13"/>
        <item x="3"/>
        <item x="22"/>
        <item x="16"/>
        <item x="19"/>
        <item x="2"/>
        <item x="14"/>
        <item x="7"/>
        <item x="15"/>
        <item x="4"/>
        <item x="9"/>
        <item t="default"/>
      </items>
    </pivotField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ntagem de No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2EDC5-2D1E-4EF4-86EF-E09A8368213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5">
    <pivotField dataField="1" showAll="0">
      <items count="2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showAll="0"/>
    <pivotField axis="axisRow" showAll="0">
      <items count="12">
        <item x="5"/>
        <item x="9"/>
        <item x="3"/>
        <item x="10"/>
        <item x="4"/>
        <item x="7"/>
        <item x="6"/>
        <item x="8"/>
        <item x="2"/>
        <item x="1"/>
        <item x="0"/>
        <item t="default"/>
      </items>
    </pivotField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 de No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75A70-F426-4BC8-9B1F-20EE0B108760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5" firstHeaderRow="1" firstDataRow="1" firstDataCol="1"/>
  <pivotFields count="5">
    <pivotField showAll="0"/>
    <pivotField showAll="0"/>
    <pivotField axis="axisRow" showAll="0">
      <items count="12">
        <item sd="0" x="5"/>
        <item sd="0" x="9"/>
        <item sd="0" x="3"/>
        <item sd="0" x="10"/>
        <item sd="0" x="4"/>
        <item sd="0" x="7"/>
        <item sd="0" x="6"/>
        <item sd="0" x="8"/>
        <item sd="0" x="2"/>
        <item sd="0" x="1"/>
        <item sd="0" x="0"/>
        <item t="default"/>
      </items>
    </pivotField>
    <pivotField showAll="0"/>
    <pivotField axis="axisRow" showAll="0">
      <items count="50">
        <item sd="0" x="43"/>
        <item sd="0" x="48"/>
        <item sd="0" x="28"/>
        <item sd="0" x="46"/>
        <item sd="0" x="9"/>
        <item x="18"/>
        <item x="24"/>
        <item x="40"/>
        <item x="34"/>
        <item x="4"/>
        <item x="42"/>
        <item x="39"/>
        <item x="30"/>
        <item x="29"/>
        <item x="38"/>
        <item x="35"/>
        <item x="21"/>
        <item x="11"/>
        <item x="13"/>
        <item x="37"/>
        <item x="20"/>
        <item x="0"/>
        <item x="10"/>
        <item x="3"/>
        <item x="14"/>
        <item x="1"/>
        <item x="45"/>
        <item x="6"/>
        <item x="2"/>
        <item x="26"/>
        <item x="12"/>
        <item x="47"/>
        <item x="15"/>
        <item x="8"/>
        <item x="36"/>
        <item x="31"/>
        <item x="7"/>
        <item x="22"/>
        <item x="23"/>
        <item x="5"/>
        <item x="19"/>
        <item x="27"/>
        <item x="33"/>
        <item x="16"/>
        <item x="41"/>
        <item x="17"/>
        <item x="32"/>
        <item x="25"/>
        <item x="44"/>
        <item t="default"/>
      </items>
    </pivotField>
  </pivotFields>
  <rowFields count="2">
    <field x="2"/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50D37-8E2D-4F96-91F5-FDFC8844BA3E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C15" firstHeaderRow="0" firstDataRow="1" firstDataCol="1"/>
  <pivotFields count="7">
    <pivotField showAll="0"/>
    <pivotField showAll="0"/>
    <pivotField axis="axisRow" showAll="0">
      <items count="12">
        <item x="5"/>
        <item x="9"/>
        <item x="3"/>
        <item x="10"/>
        <item x="4"/>
        <item x="7"/>
        <item x="6"/>
        <item x="8"/>
        <item x="2"/>
        <item x="1"/>
        <item x="0"/>
        <item t="default"/>
      </items>
    </pivotField>
    <pivotField showAll="0"/>
    <pivotField showAll="0"/>
    <pivotField dataField="1"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 HOMEM" fld="5" baseField="0" baseItem="0"/>
    <dataField name="Soma de MULHER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11C99-78C9-45D3-AF9A-8446E98DA6D1}" name="Tabela1" displayName="Tabela1" ref="A3:F233" totalsRowShown="0">
  <autoFilter ref="A3:F233" xr:uid="{3D011C99-78C9-45D3-AF9A-8446E98DA6D1}"/>
  <sortState xmlns:xlrd2="http://schemas.microsoft.com/office/spreadsheetml/2017/richdata2" ref="A4:F233">
    <sortCondition ref="F3:F233"/>
  </sortState>
  <tableColumns count="6">
    <tableColumn id="1" xr3:uid="{7946E66E-57DA-441F-99CD-C53CC9C26583}" name="Nome"/>
    <tableColumn id="2" xr3:uid="{08E87303-2494-4679-9B5F-F82A0EC8B6A0}" name="Circulo eleitoral"/>
    <tableColumn id="3" xr3:uid="{C4B65362-81CA-472E-95A6-DF3401E2F55B}" name="Grupo parlamentar/Partido"/>
    <tableColumn id="4" xr3:uid="{A273670F-45C3-4B19-B98D-6DD10D757288}" name="Genero"/>
    <tableColumn id="5" xr3:uid="{4CB7C4AF-0805-478B-97A8-8F51C163C779}" name="Idade"/>
    <tableColumn id="6" xr3:uid="{C2B868AF-F34F-4A4A-AF0D-AA484075D093}" name="aleatorio" dataDxfId="0">
      <calculatedColumnFormula>RAND()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arlamento.pt/DeputadoGP/Paginas/Biografia.aspx?BID=7396" TargetMode="External"/><Relationship Id="rId21" Type="http://schemas.openxmlformats.org/officeDocument/2006/relationships/hyperlink" Target="https://www.parlamento.pt/DeputadoGP/Paginas/Biografia.aspx?BID=1132" TargetMode="External"/><Relationship Id="rId42" Type="http://schemas.openxmlformats.org/officeDocument/2006/relationships/hyperlink" Target="https://www.parlamento.pt/DeputadoGP/Paginas/Biografia.aspx?BID=6547" TargetMode="External"/><Relationship Id="rId63" Type="http://schemas.openxmlformats.org/officeDocument/2006/relationships/hyperlink" Target="https://www.parlamento.pt/DeputadoGP/Paginas/Biografia.aspx?BID=9628" TargetMode="External"/><Relationship Id="rId84" Type="http://schemas.openxmlformats.org/officeDocument/2006/relationships/hyperlink" Target="https://www.parlamento.pt/DeputadoGP/Paginas/Biografia.aspx?BID=7274" TargetMode="External"/><Relationship Id="rId138" Type="http://schemas.openxmlformats.org/officeDocument/2006/relationships/hyperlink" Target="https://www.parlamento.pt/DeputadoGP/Paginas/Biografia.aspx?BID=7965" TargetMode="External"/><Relationship Id="rId159" Type="http://schemas.openxmlformats.org/officeDocument/2006/relationships/hyperlink" Target="https://www.parlamento.pt/DeputadoGP/Paginas/Biografia.aspx?BID=8698" TargetMode="External"/><Relationship Id="rId170" Type="http://schemas.openxmlformats.org/officeDocument/2006/relationships/hyperlink" Target="https://www.parlamento.pt/DeputadoGP/Paginas/Biografia.aspx?BID=9097" TargetMode="External"/><Relationship Id="rId191" Type="http://schemas.openxmlformats.org/officeDocument/2006/relationships/hyperlink" Target="https://www.parlamento.pt/DeputadoGP/Paginas/Biografia.aspx?BID=9007" TargetMode="External"/><Relationship Id="rId205" Type="http://schemas.openxmlformats.org/officeDocument/2006/relationships/hyperlink" Target="https://www.parlamento.pt/DeputadoGP/Paginas/Biografia.aspx?BID=5610" TargetMode="External"/><Relationship Id="rId226" Type="http://schemas.openxmlformats.org/officeDocument/2006/relationships/hyperlink" Target="https://www.parlamento.pt/DeputadoGP/Paginas/Biografia.aspx?BID=7369" TargetMode="External"/><Relationship Id="rId107" Type="http://schemas.openxmlformats.org/officeDocument/2006/relationships/hyperlink" Target="https://www.parlamento.pt/DeputadoGP/Paginas/Biografia.aspx?BID=4405" TargetMode="External"/><Relationship Id="rId11" Type="http://schemas.openxmlformats.org/officeDocument/2006/relationships/hyperlink" Target="https://www.parlamento.pt/DeputadoGP/Paginas/Biografia.aspx?BID=8196" TargetMode="External"/><Relationship Id="rId32" Type="http://schemas.openxmlformats.org/officeDocument/2006/relationships/hyperlink" Target="https://www.parlamento.pt/DeputadoGP/Paginas/Biografia.aspx?BID=7948" TargetMode="External"/><Relationship Id="rId53" Type="http://schemas.openxmlformats.org/officeDocument/2006/relationships/hyperlink" Target="https://www.parlamento.pt/DeputadoGP/Paginas/Biografia.aspx?BID=8465" TargetMode="External"/><Relationship Id="rId74" Type="http://schemas.openxmlformats.org/officeDocument/2006/relationships/hyperlink" Target="https://www.parlamento.pt/DeputadoGP/Paginas/Biografia.aspx?BID=7351" TargetMode="External"/><Relationship Id="rId128" Type="http://schemas.openxmlformats.org/officeDocument/2006/relationships/hyperlink" Target="https://www.parlamento.pt/DeputadoGP/Paginas/Biografia.aspx?BID=8396" TargetMode="External"/><Relationship Id="rId149" Type="http://schemas.openxmlformats.org/officeDocument/2006/relationships/hyperlink" Target="https://www.parlamento.pt/DeputadoGP/Paginas/Biografia.aspx?BID=5841" TargetMode="External"/><Relationship Id="rId5" Type="http://schemas.openxmlformats.org/officeDocument/2006/relationships/hyperlink" Target="https://www.parlamento.pt/DeputadoGP/Paginas/Biografia.aspx?BID=817" TargetMode="External"/><Relationship Id="rId95" Type="http://schemas.openxmlformats.org/officeDocument/2006/relationships/hyperlink" Target="https://www.parlamento.pt/DeputadoGP/Paginas/Biografia.aspx?BID=8558" TargetMode="External"/><Relationship Id="rId160" Type="http://schemas.openxmlformats.org/officeDocument/2006/relationships/hyperlink" Target="https://www.parlamento.pt/DeputadoGP/Paginas/Biografia.aspx?BID=7971" TargetMode="External"/><Relationship Id="rId181" Type="http://schemas.openxmlformats.org/officeDocument/2006/relationships/hyperlink" Target="https://www.parlamento.pt/DeputadoGP/Paginas/Biografia.aspx?BID=4453" TargetMode="External"/><Relationship Id="rId216" Type="http://schemas.openxmlformats.org/officeDocument/2006/relationships/hyperlink" Target="https://www.parlamento.pt/DeputadoGP/Paginas/Biografia.aspx?BID=7373" TargetMode="External"/><Relationship Id="rId22" Type="http://schemas.openxmlformats.org/officeDocument/2006/relationships/hyperlink" Target="https://www.parlamento.pt/DeputadoGP/Paginas/Biografia.aspx?BID=8269" TargetMode="External"/><Relationship Id="rId27" Type="http://schemas.openxmlformats.org/officeDocument/2006/relationships/hyperlink" Target="https://www.parlamento.pt/DeputadoGP/Paginas/Biografia.aspx?BID=7338" TargetMode="External"/><Relationship Id="rId43" Type="http://schemas.openxmlformats.org/officeDocument/2006/relationships/hyperlink" Target="https://www.parlamento.pt/DeputadoGP/Paginas/Biografia.aspx?BID=7890" TargetMode="External"/><Relationship Id="rId48" Type="http://schemas.openxmlformats.org/officeDocument/2006/relationships/hyperlink" Target="https://www.parlamento.pt/DeputadoGP/Paginas/Biografia.aspx?BID=6858" TargetMode="External"/><Relationship Id="rId64" Type="http://schemas.openxmlformats.org/officeDocument/2006/relationships/hyperlink" Target="https://www.parlamento.pt/DeputadoGP/Paginas/Biografia.aspx?BID=8491" TargetMode="External"/><Relationship Id="rId69" Type="http://schemas.openxmlformats.org/officeDocument/2006/relationships/hyperlink" Target="https://www.parlamento.pt/DeputadoGP/Paginas/Biografia.aspx?BID=7341" TargetMode="External"/><Relationship Id="rId113" Type="http://schemas.openxmlformats.org/officeDocument/2006/relationships/hyperlink" Target="https://www.parlamento.pt/DeputadoGP/Paginas/Biografia.aspx?BID=6731" TargetMode="External"/><Relationship Id="rId118" Type="http://schemas.openxmlformats.org/officeDocument/2006/relationships/hyperlink" Target="https://www.parlamento.pt/DeputadoGP/Paginas/Biografia.aspx?BID=7406" TargetMode="External"/><Relationship Id="rId134" Type="http://schemas.openxmlformats.org/officeDocument/2006/relationships/hyperlink" Target="https://www.parlamento.pt/DeputadoGP/Paginas/Biografia.aspx?BID=9617" TargetMode="External"/><Relationship Id="rId139" Type="http://schemas.openxmlformats.org/officeDocument/2006/relationships/hyperlink" Target="https://www.parlamento.pt/DeputadoGP/Paginas/Biografia.aspx?BID=9577" TargetMode="External"/><Relationship Id="rId80" Type="http://schemas.openxmlformats.org/officeDocument/2006/relationships/hyperlink" Target="https://www.parlamento.pt/DeputadoGP/Paginas/Biografia.aspx?BID=8525" TargetMode="External"/><Relationship Id="rId85" Type="http://schemas.openxmlformats.org/officeDocument/2006/relationships/hyperlink" Target="https://www.parlamento.pt/DeputadoGP/Paginas/Biografia.aspx?BID=6013" TargetMode="External"/><Relationship Id="rId150" Type="http://schemas.openxmlformats.org/officeDocument/2006/relationships/hyperlink" Target="https://www.parlamento.pt/DeputadoGP/Paginas/Biografia.aspx?BID=8374" TargetMode="External"/><Relationship Id="rId155" Type="http://schemas.openxmlformats.org/officeDocument/2006/relationships/hyperlink" Target="https://www.parlamento.pt/DeputadoGP/Paginas/Biografia.aspx?BID=6878" TargetMode="External"/><Relationship Id="rId171" Type="http://schemas.openxmlformats.org/officeDocument/2006/relationships/hyperlink" Target="https://www.parlamento.pt/DeputadoGP/Paginas/Biografia.aspx?BID=6537" TargetMode="External"/><Relationship Id="rId176" Type="http://schemas.openxmlformats.org/officeDocument/2006/relationships/hyperlink" Target="https://www.parlamento.pt/DeputadoGP/Paginas/Biografia.aspx?BID=8730" TargetMode="External"/><Relationship Id="rId192" Type="http://schemas.openxmlformats.org/officeDocument/2006/relationships/hyperlink" Target="https://www.parlamento.pt/DeputadoGP/Paginas/Biografia.aspx?BID=2106" TargetMode="External"/><Relationship Id="rId197" Type="http://schemas.openxmlformats.org/officeDocument/2006/relationships/hyperlink" Target="https://www.parlamento.pt/DeputadoGP/Paginas/Biografia.aspx?BID=8918" TargetMode="External"/><Relationship Id="rId206" Type="http://schemas.openxmlformats.org/officeDocument/2006/relationships/hyperlink" Target="https://www.parlamento.pt/DeputadoGP/Paginas/Biografia.aspx?BID=7344" TargetMode="External"/><Relationship Id="rId227" Type="http://schemas.openxmlformats.org/officeDocument/2006/relationships/hyperlink" Target="https://www.parlamento.pt/DeputadoGP/Paginas/Biografia.aspx?BID=4221" TargetMode="External"/><Relationship Id="rId201" Type="http://schemas.openxmlformats.org/officeDocument/2006/relationships/hyperlink" Target="https://www.parlamento.pt/DeputadoGP/Paginas/Biografia.aspx?BID=7205" TargetMode="External"/><Relationship Id="rId222" Type="http://schemas.openxmlformats.org/officeDocument/2006/relationships/hyperlink" Target="https://www.parlamento.pt/DeputadoGP/Paginas/Biografia.aspx?BID=8091" TargetMode="External"/><Relationship Id="rId12" Type="http://schemas.openxmlformats.org/officeDocument/2006/relationships/hyperlink" Target="https://www.parlamento.pt/DeputadoGP/Paginas/Biografia.aspx?BID=4330" TargetMode="External"/><Relationship Id="rId17" Type="http://schemas.openxmlformats.org/officeDocument/2006/relationships/hyperlink" Target="https://www.parlamento.pt/DeputadoGP/Paginas/Biografia.aspx?BID=4396" TargetMode="External"/><Relationship Id="rId33" Type="http://schemas.openxmlformats.org/officeDocument/2006/relationships/hyperlink" Target="https://www.parlamento.pt/DeputadoGP/Paginas/Biografia.aspx?BID=7325" TargetMode="External"/><Relationship Id="rId38" Type="http://schemas.openxmlformats.org/officeDocument/2006/relationships/hyperlink" Target="https://www.parlamento.pt/DeputadoGP/Paginas/Biografia.aspx?BID=8165" TargetMode="External"/><Relationship Id="rId59" Type="http://schemas.openxmlformats.org/officeDocument/2006/relationships/hyperlink" Target="https://www.parlamento.pt/DeputadoGP/Paginas/Biografia.aspx?BID=8476" TargetMode="External"/><Relationship Id="rId103" Type="http://schemas.openxmlformats.org/officeDocument/2006/relationships/hyperlink" Target="https://www.parlamento.pt/DeputadoGP/Paginas/Biografia.aspx?BID=7358" TargetMode="External"/><Relationship Id="rId108" Type="http://schemas.openxmlformats.org/officeDocument/2006/relationships/hyperlink" Target="https://www.parlamento.pt/DeputadoGP/Paginas/Biografia.aspx?BID=8425" TargetMode="External"/><Relationship Id="rId124" Type="http://schemas.openxmlformats.org/officeDocument/2006/relationships/hyperlink" Target="https://www.parlamento.pt/DeputadoGP/Paginas/Biografia.aspx?BID=8387" TargetMode="External"/><Relationship Id="rId129" Type="http://schemas.openxmlformats.org/officeDocument/2006/relationships/hyperlink" Target="https://www.parlamento.pt/DeputadoGP/Paginas/Biografia.aspx?BID=5677" TargetMode="External"/><Relationship Id="rId54" Type="http://schemas.openxmlformats.org/officeDocument/2006/relationships/hyperlink" Target="https://www.parlamento.pt/DeputadoGP/Paginas/Biografia.aspx?BID=4209" TargetMode="External"/><Relationship Id="rId70" Type="http://schemas.openxmlformats.org/officeDocument/2006/relationships/hyperlink" Target="https://www.parlamento.pt/DeputadoGP/Paginas/Biografia.aspx?BID=2397" TargetMode="External"/><Relationship Id="rId75" Type="http://schemas.openxmlformats.org/officeDocument/2006/relationships/hyperlink" Target="https://www.parlamento.pt/DeputadoGP/Paginas/Biografia.aspx?BID=7796" TargetMode="External"/><Relationship Id="rId91" Type="http://schemas.openxmlformats.org/officeDocument/2006/relationships/hyperlink" Target="https://www.parlamento.pt/DeputadoGP/Paginas/Biografia.aspx?BID=7388" TargetMode="External"/><Relationship Id="rId96" Type="http://schemas.openxmlformats.org/officeDocument/2006/relationships/hyperlink" Target="https://www.parlamento.pt/DeputadoGP/Paginas/Biografia.aspx?BID=7356" TargetMode="External"/><Relationship Id="rId140" Type="http://schemas.openxmlformats.org/officeDocument/2006/relationships/hyperlink" Target="https://www.parlamento.pt/DeputadoGP/Paginas/Biografia.aspx?BID=4090" TargetMode="External"/><Relationship Id="rId145" Type="http://schemas.openxmlformats.org/officeDocument/2006/relationships/hyperlink" Target="https://www.parlamento.pt/DeputadoGP/Paginas/Biografia.aspx?BID=8636" TargetMode="External"/><Relationship Id="rId161" Type="http://schemas.openxmlformats.org/officeDocument/2006/relationships/hyperlink" Target="https://www.parlamento.pt/DeputadoGP/Paginas/Biografia.aspx?BID=7355" TargetMode="External"/><Relationship Id="rId166" Type="http://schemas.openxmlformats.org/officeDocument/2006/relationships/hyperlink" Target="https://www.parlamento.pt/DeputadoGP/Paginas/Biografia.aspx?BID=4197" TargetMode="External"/><Relationship Id="rId182" Type="http://schemas.openxmlformats.org/officeDocument/2006/relationships/hyperlink" Target="https://www.parlamento.pt/DeputadoGP/Paginas/Biografia.aspx?BID=416" TargetMode="External"/><Relationship Id="rId187" Type="http://schemas.openxmlformats.org/officeDocument/2006/relationships/hyperlink" Target="https://www.parlamento.pt/DeputadoGP/Paginas/Biografia.aspx?BID=9358" TargetMode="External"/><Relationship Id="rId217" Type="http://schemas.openxmlformats.org/officeDocument/2006/relationships/hyperlink" Target="https://www.parlamento.pt/DeputadoGP/Paginas/Biografia.aspx?BID=6710" TargetMode="External"/><Relationship Id="rId1" Type="http://schemas.openxmlformats.org/officeDocument/2006/relationships/hyperlink" Target="https://www.parlamento.pt/DeputadoGP/Paginas/Biografia.aspx?BID=9194" TargetMode="External"/><Relationship Id="rId6" Type="http://schemas.openxmlformats.org/officeDocument/2006/relationships/hyperlink" Target="https://www.parlamento.pt/DeputadoGP/Paginas/Biografia.aspx?BID=8152" TargetMode="External"/><Relationship Id="rId212" Type="http://schemas.openxmlformats.org/officeDocument/2006/relationships/hyperlink" Target="https://www.parlamento.pt/DeputadoGP/Paginas/Biografia.aspx?BID=9505" TargetMode="External"/><Relationship Id="rId23" Type="http://schemas.openxmlformats.org/officeDocument/2006/relationships/hyperlink" Target="https://www.parlamento.pt/DeputadoGP/Paginas/Biografia.aspx?BID=9641" TargetMode="External"/><Relationship Id="rId28" Type="http://schemas.openxmlformats.org/officeDocument/2006/relationships/hyperlink" Target="https://www.parlamento.pt/DeputadoGP/Paginas/Biografia.aspx?BID=2304" TargetMode="External"/><Relationship Id="rId49" Type="http://schemas.openxmlformats.org/officeDocument/2006/relationships/hyperlink" Target="https://www.parlamento.pt/DeputadoGP/Paginas/Biografia.aspx?BID=8863" TargetMode="External"/><Relationship Id="rId114" Type="http://schemas.openxmlformats.org/officeDocument/2006/relationships/hyperlink" Target="https://www.parlamento.pt/DeputadoGP/Paginas/Biografia.aspx?BID=8353" TargetMode="External"/><Relationship Id="rId119" Type="http://schemas.openxmlformats.org/officeDocument/2006/relationships/hyperlink" Target="https://www.parlamento.pt/DeputadoGP/Paginas/Biografia.aspx?BID=2105" TargetMode="External"/><Relationship Id="rId44" Type="http://schemas.openxmlformats.org/officeDocument/2006/relationships/hyperlink" Target="https://www.parlamento.pt/DeputadoGP/Paginas/Biografia.aspx?BID=2297" TargetMode="External"/><Relationship Id="rId60" Type="http://schemas.openxmlformats.org/officeDocument/2006/relationships/hyperlink" Target="https://www.parlamento.pt/DeputadoGP/Paginas/Biografia.aspx?BID=9332" TargetMode="External"/><Relationship Id="rId65" Type="http://schemas.openxmlformats.org/officeDocument/2006/relationships/hyperlink" Target="https://www.parlamento.pt/DeputadoGP/Paginas/Biografia.aspx?BID=7332" TargetMode="External"/><Relationship Id="rId81" Type="http://schemas.openxmlformats.org/officeDocument/2006/relationships/hyperlink" Target="https://www.parlamento.pt/DeputadoGP/Paginas/Biografia.aspx?BID=5490" TargetMode="External"/><Relationship Id="rId86" Type="http://schemas.openxmlformats.org/officeDocument/2006/relationships/hyperlink" Target="https://www.parlamento.pt/DeputadoGP/Paginas/Biografia.aspx?BID=5509" TargetMode="External"/><Relationship Id="rId130" Type="http://schemas.openxmlformats.org/officeDocument/2006/relationships/hyperlink" Target="https://www.parlamento.pt/DeputadoGP/Paginas/Biografia.aspx?BID=4126" TargetMode="External"/><Relationship Id="rId135" Type="http://schemas.openxmlformats.org/officeDocument/2006/relationships/hyperlink" Target="https://www.parlamento.pt/DeputadoGP/Paginas/Biografia.aspx?BID=4365" TargetMode="External"/><Relationship Id="rId151" Type="http://schemas.openxmlformats.org/officeDocument/2006/relationships/hyperlink" Target="https://www.parlamento.pt/DeputadoGP/Paginas/Biografia.aspx?BID=6706" TargetMode="External"/><Relationship Id="rId156" Type="http://schemas.openxmlformats.org/officeDocument/2006/relationships/hyperlink" Target="https://www.parlamento.pt/DeputadoGP/Paginas/Biografia.aspx?BID=8693" TargetMode="External"/><Relationship Id="rId177" Type="http://schemas.openxmlformats.org/officeDocument/2006/relationships/hyperlink" Target="https://www.parlamento.pt/DeputadoGP/Paginas/Biografia.aspx?BID=1738" TargetMode="External"/><Relationship Id="rId198" Type="http://schemas.openxmlformats.org/officeDocument/2006/relationships/hyperlink" Target="https://www.parlamento.pt/DeputadoGP/Paginas/Biografia.aspx?BID=7731" TargetMode="External"/><Relationship Id="rId172" Type="http://schemas.openxmlformats.org/officeDocument/2006/relationships/hyperlink" Target="https://www.parlamento.pt/DeputadoGP/Paginas/Biografia.aspx?BID=6932" TargetMode="External"/><Relationship Id="rId193" Type="http://schemas.openxmlformats.org/officeDocument/2006/relationships/hyperlink" Target="https://www.parlamento.pt/DeputadoGP/Paginas/Biografia.aspx?BID=8921" TargetMode="External"/><Relationship Id="rId202" Type="http://schemas.openxmlformats.org/officeDocument/2006/relationships/hyperlink" Target="https://www.parlamento.pt/DeputadoGP/Paginas/Biografia.aspx?BID=7390" TargetMode="External"/><Relationship Id="rId207" Type="http://schemas.openxmlformats.org/officeDocument/2006/relationships/hyperlink" Target="https://www.parlamento.pt/DeputadoGP/Paginas/Biografia.aspx?BID=8951" TargetMode="External"/><Relationship Id="rId223" Type="http://schemas.openxmlformats.org/officeDocument/2006/relationships/hyperlink" Target="https://www.parlamento.pt/DeputadoGP/Paginas/Biografia.aspx?BID=6962" TargetMode="External"/><Relationship Id="rId228" Type="http://schemas.openxmlformats.org/officeDocument/2006/relationships/hyperlink" Target="https://www.parlamento.pt/DeputadoGP/Paginas/Biografia.aspx?BID=9174" TargetMode="External"/><Relationship Id="rId13" Type="http://schemas.openxmlformats.org/officeDocument/2006/relationships/hyperlink" Target="https://www.parlamento.pt/DeputadoGP/Paginas/Biografia.aspx?BID=9629" TargetMode="External"/><Relationship Id="rId18" Type="http://schemas.openxmlformats.org/officeDocument/2006/relationships/hyperlink" Target="https://www.parlamento.pt/DeputadoGP/Paginas/Biografia.aspx?BID=8246" TargetMode="External"/><Relationship Id="rId39" Type="http://schemas.openxmlformats.org/officeDocument/2006/relationships/hyperlink" Target="https://www.parlamento.pt/DeputadoGP/Paginas/Biografia.aspx?BID=7387" TargetMode="External"/><Relationship Id="rId109" Type="http://schemas.openxmlformats.org/officeDocument/2006/relationships/hyperlink" Target="https://www.parlamento.pt/DeputadoGP/Paginas/Biografia.aspx?BID=7330" TargetMode="External"/><Relationship Id="rId34" Type="http://schemas.openxmlformats.org/officeDocument/2006/relationships/hyperlink" Target="https://www.parlamento.pt/DeputadoGP/Paginas/Biografia.aspx?BID=7343" TargetMode="External"/><Relationship Id="rId50" Type="http://schemas.openxmlformats.org/officeDocument/2006/relationships/hyperlink" Target="https://www.parlamento.pt/DeputadoGP/Paginas/Biografia.aspx?BID=162" TargetMode="External"/><Relationship Id="rId55" Type="http://schemas.openxmlformats.org/officeDocument/2006/relationships/hyperlink" Target="https://www.parlamento.pt/DeputadoGP/Paginas/Biografia.aspx?BID=9389" TargetMode="External"/><Relationship Id="rId76" Type="http://schemas.openxmlformats.org/officeDocument/2006/relationships/hyperlink" Target="https://www.parlamento.pt/DeputadoGP/Paginas/Biografia.aspx?BID=9331" TargetMode="External"/><Relationship Id="rId97" Type="http://schemas.openxmlformats.org/officeDocument/2006/relationships/hyperlink" Target="https://www.parlamento.pt/DeputadoGP/Paginas/Biografia.aspx?BID=6544" TargetMode="External"/><Relationship Id="rId104" Type="http://schemas.openxmlformats.org/officeDocument/2006/relationships/hyperlink" Target="https://www.parlamento.pt/DeputadoGP/Paginas/Biografia.aspx?BID=7408" TargetMode="External"/><Relationship Id="rId120" Type="http://schemas.openxmlformats.org/officeDocument/2006/relationships/hyperlink" Target="https://www.parlamento.pt/DeputadoGP/Paginas/Biografia.aspx?BID=2061" TargetMode="External"/><Relationship Id="rId125" Type="http://schemas.openxmlformats.org/officeDocument/2006/relationships/hyperlink" Target="https://www.parlamento.pt/DeputadoGP/Paginas/Biografia.aspx?BID=7667" TargetMode="External"/><Relationship Id="rId141" Type="http://schemas.openxmlformats.org/officeDocument/2006/relationships/hyperlink" Target="https://www.parlamento.pt/DeputadoGP/Paginas/Biografia.aspx?BID=8613" TargetMode="External"/><Relationship Id="rId146" Type="http://schemas.openxmlformats.org/officeDocument/2006/relationships/hyperlink" Target="https://www.parlamento.pt/DeputadoGP/Paginas/Biografia.aspx?BID=7385" TargetMode="External"/><Relationship Id="rId167" Type="http://schemas.openxmlformats.org/officeDocument/2006/relationships/hyperlink" Target="https://www.parlamento.pt/DeputadoGP/Paginas/Biografia.aspx?BID=2641" TargetMode="External"/><Relationship Id="rId188" Type="http://schemas.openxmlformats.org/officeDocument/2006/relationships/hyperlink" Target="https://www.parlamento.pt/DeputadoGP/Paginas/Biografia.aspx?BID=8898" TargetMode="External"/><Relationship Id="rId7" Type="http://schemas.openxmlformats.org/officeDocument/2006/relationships/hyperlink" Target="https://www.parlamento.pt/DeputadoGP/Paginas/Biografia.aspx?BID=8157" TargetMode="External"/><Relationship Id="rId71" Type="http://schemas.openxmlformats.org/officeDocument/2006/relationships/hyperlink" Target="https://www.parlamento.pt/DeputadoGP/Paginas/Biografia.aspx?BID=7359" TargetMode="External"/><Relationship Id="rId92" Type="http://schemas.openxmlformats.org/officeDocument/2006/relationships/hyperlink" Target="https://www.parlamento.pt/DeputadoGP/Paginas/Biografia.aspx?BID=6864" TargetMode="External"/><Relationship Id="rId162" Type="http://schemas.openxmlformats.org/officeDocument/2006/relationships/hyperlink" Target="https://www.parlamento.pt/DeputadoGP/Paginas/Biografia.aspx?BID=6371" TargetMode="External"/><Relationship Id="rId183" Type="http://schemas.openxmlformats.org/officeDocument/2006/relationships/hyperlink" Target="https://www.parlamento.pt/DeputadoGP/Paginas/Biografia.aspx?BID=7345" TargetMode="External"/><Relationship Id="rId213" Type="http://schemas.openxmlformats.org/officeDocument/2006/relationships/hyperlink" Target="https://www.parlamento.pt/DeputadoGP/Paginas/Biografia.aspx?BID=7337" TargetMode="External"/><Relationship Id="rId218" Type="http://schemas.openxmlformats.org/officeDocument/2006/relationships/hyperlink" Target="https://www.parlamento.pt/DeputadoGP/Paginas/Biografia.aspx?BID=9107" TargetMode="External"/><Relationship Id="rId2" Type="http://schemas.openxmlformats.org/officeDocument/2006/relationships/hyperlink" Target="https://www.parlamento.pt/DeputadoGP/Paginas/Biografia.aspx?BID=5993" TargetMode="External"/><Relationship Id="rId29" Type="http://schemas.openxmlformats.org/officeDocument/2006/relationships/hyperlink" Target="https://www.parlamento.pt/DeputadoGP/Paginas/Biografia.aspx?BID=1713" TargetMode="External"/><Relationship Id="rId24" Type="http://schemas.openxmlformats.org/officeDocument/2006/relationships/hyperlink" Target="https://www.parlamento.pt/DeputadoGP/Paginas/Biografia.aspx?BID=9184" TargetMode="External"/><Relationship Id="rId40" Type="http://schemas.openxmlformats.org/officeDocument/2006/relationships/hyperlink" Target="https://www.parlamento.pt/DeputadoGP/Paginas/Biografia.aspx?BID=7928" TargetMode="External"/><Relationship Id="rId45" Type="http://schemas.openxmlformats.org/officeDocument/2006/relationships/hyperlink" Target="https://www.parlamento.pt/DeputadoGP/Paginas/Biografia.aspx?BID=9483" TargetMode="External"/><Relationship Id="rId66" Type="http://schemas.openxmlformats.org/officeDocument/2006/relationships/hyperlink" Target="https://www.parlamento.pt/DeputadoGP/Paginas/Biografia.aspx?BID=1554" TargetMode="External"/><Relationship Id="rId87" Type="http://schemas.openxmlformats.org/officeDocument/2006/relationships/hyperlink" Target="https://www.parlamento.pt/DeputadoGP/Paginas/Biografia.aspx?BID=6857" TargetMode="External"/><Relationship Id="rId110" Type="http://schemas.openxmlformats.org/officeDocument/2006/relationships/hyperlink" Target="https://www.parlamento.pt/DeputadoGP/Paginas/Biografia.aspx?BID=8343" TargetMode="External"/><Relationship Id="rId115" Type="http://schemas.openxmlformats.org/officeDocument/2006/relationships/hyperlink" Target="https://www.parlamento.pt/DeputadoGP/Paginas/Biografia.aspx?BID=77" TargetMode="External"/><Relationship Id="rId131" Type="http://schemas.openxmlformats.org/officeDocument/2006/relationships/hyperlink" Target="https://www.parlamento.pt/DeputadoGP/Paginas/Biografia.aspx?BID=7353" TargetMode="External"/><Relationship Id="rId136" Type="http://schemas.openxmlformats.org/officeDocument/2006/relationships/hyperlink" Target="https://www.parlamento.pt/DeputadoGP/Paginas/Biografia.aspx?BID=4484" TargetMode="External"/><Relationship Id="rId157" Type="http://schemas.openxmlformats.org/officeDocument/2006/relationships/hyperlink" Target="https://www.parlamento.pt/DeputadoGP/Paginas/Biografia.aspx?BID=8689" TargetMode="External"/><Relationship Id="rId178" Type="http://schemas.openxmlformats.org/officeDocument/2006/relationships/hyperlink" Target="https://www.parlamento.pt/DeputadoGP/Paginas/Biografia.aspx?BID=8879" TargetMode="External"/><Relationship Id="rId61" Type="http://schemas.openxmlformats.org/officeDocument/2006/relationships/hyperlink" Target="https://www.parlamento.pt/DeputadoGP/Paginas/Biografia.aspx?BID=7040" TargetMode="External"/><Relationship Id="rId82" Type="http://schemas.openxmlformats.org/officeDocument/2006/relationships/hyperlink" Target="https://www.parlamento.pt/DeputadoGP/Paginas/Biografia.aspx?BID=8546" TargetMode="External"/><Relationship Id="rId152" Type="http://schemas.openxmlformats.org/officeDocument/2006/relationships/hyperlink" Target="https://www.parlamento.pt/DeputadoGP/Paginas/Biografia.aspx?BID=9428" TargetMode="External"/><Relationship Id="rId173" Type="http://schemas.openxmlformats.org/officeDocument/2006/relationships/hyperlink" Target="https://www.parlamento.pt/DeputadoGP/Paginas/Biografia.aspx?BID=6178" TargetMode="External"/><Relationship Id="rId194" Type="http://schemas.openxmlformats.org/officeDocument/2006/relationships/hyperlink" Target="https://www.parlamento.pt/DeputadoGP/Paginas/Biografia.aspx?BID=9108" TargetMode="External"/><Relationship Id="rId199" Type="http://schemas.openxmlformats.org/officeDocument/2006/relationships/hyperlink" Target="https://www.parlamento.pt/DeputadoGP/Paginas/Biografia.aspx?BID=9543" TargetMode="External"/><Relationship Id="rId203" Type="http://schemas.openxmlformats.org/officeDocument/2006/relationships/hyperlink" Target="https://www.parlamento.pt/DeputadoGP/Paginas/Biografia.aspx?BID=7363" TargetMode="External"/><Relationship Id="rId208" Type="http://schemas.openxmlformats.org/officeDocument/2006/relationships/hyperlink" Target="https://www.parlamento.pt/DeputadoGP/Paginas/Biografia.aspx?BID=8946" TargetMode="External"/><Relationship Id="rId229" Type="http://schemas.openxmlformats.org/officeDocument/2006/relationships/vmlDrawing" Target="../drawings/vmlDrawing1.vml"/><Relationship Id="rId19" Type="http://schemas.openxmlformats.org/officeDocument/2006/relationships/hyperlink" Target="https://www.parlamento.pt/DeputadoGP/Paginas/Biografia.aspx?BID=8255" TargetMode="External"/><Relationship Id="rId224" Type="http://schemas.openxmlformats.org/officeDocument/2006/relationships/hyperlink" Target="https://www.parlamento.pt/DeputadoGP/Paginas/Biografia.aspx?BID=1897" TargetMode="External"/><Relationship Id="rId14" Type="http://schemas.openxmlformats.org/officeDocument/2006/relationships/hyperlink" Target="https://www.parlamento.pt/DeputadoGP/Paginas/Biografia.aspx?BID=6050" TargetMode="External"/><Relationship Id="rId30" Type="http://schemas.openxmlformats.org/officeDocument/2006/relationships/hyperlink" Target="https://www.parlamento.pt/DeputadoGP/Paginas/Biografia.aspx?BID=4147" TargetMode="External"/><Relationship Id="rId35" Type="http://schemas.openxmlformats.org/officeDocument/2006/relationships/hyperlink" Target="https://www.parlamento.pt/DeputadoGP/Paginas/Biografia.aspx?BID=6187" TargetMode="External"/><Relationship Id="rId56" Type="http://schemas.openxmlformats.org/officeDocument/2006/relationships/hyperlink" Target="https://www.parlamento.pt/DeputadoGP/Paginas/Biografia.aspx?BID=2114" TargetMode="External"/><Relationship Id="rId77" Type="http://schemas.openxmlformats.org/officeDocument/2006/relationships/hyperlink" Target="https://www.parlamento.pt/DeputadoGP/Paginas/Biografia.aspx?BID=5984" TargetMode="External"/><Relationship Id="rId100" Type="http://schemas.openxmlformats.org/officeDocument/2006/relationships/hyperlink" Target="https://www.parlamento.pt/DeputadoGP/Paginas/Biografia.aspx?BID=9149" TargetMode="External"/><Relationship Id="rId105" Type="http://schemas.openxmlformats.org/officeDocument/2006/relationships/hyperlink" Target="https://www.parlamento.pt/DeputadoGP/Paginas/Biografia.aspx?BID=8591" TargetMode="External"/><Relationship Id="rId126" Type="http://schemas.openxmlformats.org/officeDocument/2006/relationships/hyperlink" Target="https://www.parlamento.pt/DeputadoGP/Paginas/Biografia.aspx?BID=7039" TargetMode="External"/><Relationship Id="rId147" Type="http://schemas.openxmlformats.org/officeDocument/2006/relationships/hyperlink" Target="https://www.parlamento.pt/DeputadoGP/Paginas/Biografia.aspx?BID=8650" TargetMode="External"/><Relationship Id="rId168" Type="http://schemas.openxmlformats.org/officeDocument/2006/relationships/hyperlink" Target="https://www.parlamento.pt/DeputadoGP/Paginas/Biografia.aspx?BID=7504" TargetMode="External"/><Relationship Id="rId8" Type="http://schemas.openxmlformats.org/officeDocument/2006/relationships/hyperlink" Target="https://www.parlamento.pt/DeputadoGP/Paginas/Biografia.aspx?BID=7913" TargetMode="External"/><Relationship Id="rId51" Type="http://schemas.openxmlformats.org/officeDocument/2006/relationships/hyperlink" Target="https://www.parlamento.pt/DeputadoGP/Paginas/Biografia.aspx?BID=7460" TargetMode="External"/><Relationship Id="rId72" Type="http://schemas.openxmlformats.org/officeDocument/2006/relationships/hyperlink" Target="https://www.parlamento.pt/DeputadoGP/Paginas/Biografia.aspx?BID=4223" TargetMode="External"/><Relationship Id="rId93" Type="http://schemas.openxmlformats.org/officeDocument/2006/relationships/hyperlink" Target="https://www.parlamento.pt/DeputadoGP/Paginas/Biografia.aspx?BID=7494" TargetMode="External"/><Relationship Id="rId98" Type="http://schemas.openxmlformats.org/officeDocument/2006/relationships/hyperlink" Target="https://www.parlamento.pt/DeputadoGP/Paginas/Biografia.aspx?BID=7339" TargetMode="External"/><Relationship Id="rId121" Type="http://schemas.openxmlformats.org/officeDocument/2006/relationships/hyperlink" Target="https://www.parlamento.pt/DeputadoGP/Paginas/Biografia.aspx?BID=4551" TargetMode="External"/><Relationship Id="rId142" Type="http://schemas.openxmlformats.org/officeDocument/2006/relationships/hyperlink" Target="https://www.parlamento.pt/DeputadoGP/Paginas/Biografia.aspx?BID=7973" TargetMode="External"/><Relationship Id="rId163" Type="http://schemas.openxmlformats.org/officeDocument/2006/relationships/hyperlink" Target="https://www.parlamento.pt/DeputadoGP/Paginas/Biografia.aspx?BID=6968" TargetMode="External"/><Relationship Id="rId184" Type="http://schemas.openxmlformats.org/officeDocument/2006/relationships/hyperlink" Target="https://www.parlamento.pt/DeputadoGP/Paginas/Biografia.aspx?BID=7391" TargetMode="External"/><Relationship Id="rId189" Type="http://schemas.openxmlformats.org/officeDocument/2006/relationships/hyperlink" Target="https://www.parlamento.pt/DeputadoGP/Paginas/Biografia.aspx?BID=8888" TargetMode="External"/><Relationship Id="rId219" Type="http://schemas.openxmlformats.org/officeDocument/2006/relationships/hyperlink" Target="https://www.parlamento.pt/DeputadoGP/Paginas/Biografia.aspx?BID=8982" TargetMode="External"/><Relationship Id="rId3" Type="http://schemas.openxmlformats.org/officeDocument/2006/relationships/hyperlink" Target="https://www.parlamento.pt/DeputadoGP/Paginas/Biografia.aspx?BID=6937" TargetMode="External"/><Relationship Id="rId214" Type="http://schemas.openxmlformats.org/officeDocument/2006/relationships/hyperlink" Target="https://www.parlamento.pt/DeputadoGP/Paginas/Biografia.aspx?BID=8962" TargetMode="External"/><Relationship Id="rId230" Type="http://schemas.openxmlformats.org/officeDocument/2006/relationships/comments" Target="../comments1.xml"/><Relationship Id="rId25" Type="http://schemas.openxmlformats.org/officeDocument/2006/relationships/hyperlink" Target="https://www.parlamento.pt/DeputadoGP/Paginas/Biografia.aspx?BID=8736" TargetMode="External"/><Relationship Id="rId46" Type="http://schemas.openxmlformats.org/officeDocument/2006/relationships/hyperlink" Target="https://www.parlamento.pt/DeputadoGP/Paginas/Biografia.aspx?BID=8832" TargetMode="External"/><Relationship Id="rId67" Type="http://schemas.openxmlformats.org/officeDocument/2006/relationships/hyperlink" Target="https://www.parlamento.pt/DeputadoGP/Paginas/Biografia.aspx?BID=9378" TargetMode="External"/><Relationship Id="rId116" Type="http://schemas.openxmlformats.org/officeDocument/2006/relationships/hyperlink" Target="https://www.parlamento.pt/DeputadoGP/Paginas/Biografia.aspx?BID=8359" TargetMode="External"/><Relationship Id="rId137" Type="http://schemas.openxmlformats.org/officeDocument/2006/relationships/hyperlink" Target="https://www.parlamento.pt/DeputadoGP/Paginas/Biografia.aspx?BID=2209" TargetMode="External"/><Relationship Id="rId158" Type="http://schemas.openxmlformats.org/officeDocument/2006/relationships/hyperlink" Target="https://www.parlamento.pt/DeputadoGP/Paginas/Biografia.aspx?BID=8778" TargetMode="External"/><Relationship Id="rId20" Type="http://schemas.openxmlformats.org/officeDocument/2006/relationships/hyperlink" Target="https://www.parlamento.pt/DeputadoGP/Paginas/Biografia.aspx?BID=7888" TargetMode="External"/><Relationship Id="rId41" Type="http://schemas.openxmlformats.org/officeDocument/2006/relationships/hyperlink" Target="https://www.parlamento.pt/DeputadoGP/Paginas/Biografia.aspx?BID=8812" TargetMode="External"/><Relationship Id="rId62" Type="http://schemas.openxmlformats.org/officeDocument/2006/relationships/hyperlink" Target="https://www.parlamento.pt/DeputadoGP/Paginas/Biografia.aspx?BID=8017" TargetMode="External"/><Relationship Id="rId83" Type="http://schemas.openxmlformats.org/officeDocument/2006/relationships/hyperlink" Target="https://www.parlamento.pt/DeputadoGP/Paginas/Biografia.aspx?BID=3939" TargetMode="External"/><Relationship Id="rId88" Type="http://schemas.openxmlformats.org/officeDocument/2006/relationships/hyperlink" Target="https://www.parlamento.pt/DeputadoGP/Paginas/Biografia.aspx?BID=4300" TargetMode="External"/><Relationship Id="rId111" Type="http://schemas.openxmlformats.org/officeDocument/2006/relationships/hyperlink" Target="https://www.parlamento.pt/DeputadoGP/Paginas/Biografia.aspx?BID=8869" TargetMode="External"/><Relationship Id="rId132" Type="http://schemas.openxmlformats.org/officeDocument/2006/relationships/hyperlink" Target="https://www.parlamento.pt/DeputadoGP/Paginas/Biografia.aspx?BID=8418" TargetMode="External"/><Relationship Id="rId153" Type="http://schemas.openxmlformats.org/officeDocument/2006/relationships/hyperlink" Target="https://www.parlamento.pt/DeputadoGP/Paginas/Biografia.aspx?BID=2071" TargetMode="External"/><Relationship Id="rId174" Type="http://schemas.openxmlformats.org/officeDocument/2006/relationships/hyperlink" Target="https://www.parlamento.pt/DeputadoGP/Paginas/Biografia.aspx?BID=8723" TargetMode="External"/><Relationship Id="rId179" Type="http://schemas.openxmlformats.org/officeDocument/2006/relationships/hyperlink" Target="https://www.parlamento.pt/DeputadoGP/Paginas/Biografia.aspx?BID=1893" TargetMode="External"/><Relationship Id="rId195" Type="http://schemas.openxmlformats.org/officeDocument/2006/relationships/hyperlink" Target="https://www.parlamento.pt/DeputadoGP/Paginas/Biografia.aspx?BID=7586" TargetMode="External"/><Relationship Id="rId209" Type="http://schemas.openxmlformats.org/officeDocument/2006/relationships/hyperlink" Target="https://www.parlamento.pt/DeputadoGP/Paginas/Biografia.aspx?BID=1517" TargetMode="External"/><Relationship Id="rId190" Type="http://schemas.openxmlformats.org/officeDocument/2006/relationships/hyperlink" Target="https://www.parlamento.pt/DeputadoGP/Paginas/Biografia.aspx?BID=469" TargetMode="External"/><Relationship Id="rId204" Type="http://schemas.openxmlformats.org/officeDocument/2006/relationships/hyperlink" Target="https://www.parlamento.pt/DeputadoGP/Paginas/Biografia.aspx?BID=6945" TargetMode="External"/><Relationship Id="rId220" Type="http://schemas.openxmlformats.org/officeDocument/2006/relationships/hyperlink" Target="https://www.parlamento.pt/DeputadoGP/Paginas/Biografia.aspx?BID=6081" TargetMode="External"/><Relationship Id="rId225" Type="http://schemas.openxmlformats.org/officeDocument/2006/relationships/hyperlink" Target="https://www.parlamento.pt/DeputadoGP/Paginas/Biografia.aspx?BID=2445" TargetMode="External"/><Relationship Id="rId15" Type="http://schemas.openxmlformats.org/officeDocument/2006/relationships/hyperlink" Target="https://www.parlamento.pt/DeputadoGP/Paginas/Biografia.aspx?BID=8230" TargetMode="External"/><Relationship Id="rId36" Type="http://schemas.openxmlformats.org/officeDocument/2006/relationships/hyperlink" Target="https://www.parlamento.pt/DeputadoGP/Paginas/Biografia.aspx?BID=8783" TargetMode="External"/><Relationship Id="rId57" Type="http://schemas.openxmlformats.org/officeDocument/2006/relationships/hyperlink" Target="https://www.parlamento.pt/DeputadoGP/Paginas/Biografia.aspx?BID=5600" TargetMode="External"/><Relationship Id="rId106" Type="http://schemas.openxmlformats.org/officeDocument/2006/relationships/hyperlink" Target="https://www.parlamento.pt/DeputadoGP/Paginas/Biografia.aspx?BID=8596" TargetMode="External"/><Relationship Id="rId127" Type="http://schemas.openxmlformats.org/officeDocument/2006/relationships/hyperlink" Target="https://www.parlamento.pt/DeputadoGP/Paginas/Biografia.aspx?BID=9073" TargetMode="External"/><Relationship Id="rId10" Type="http://schemas.openxmlformats.org/officeDocument/2006/relationships/hyperlink" Target="https://www.parlamento.pt/DeputadoGP/Paginas/Biografia.aspx?BID=9506" TargetMode="External"/><Relationship Id="rId31" Type="http://schemas.openxmlformats.org/officeDocument/2006/relationships/hyperlink" Target="https://www.parlamento.pt/DeputadoGP/Paginas/Biografia.aspx?BID=1458" TargetMode="External"/><Relationship Id="rId52" Type="http://schemas.openxmlformats.org/officeDocument/2006/relationships/hyperlink" Target="https://www.parlamento.pt/DeputadoGP/Paginas/Biografia.aspx?BID=2576" TargetMode="External"/><Relationship Id="rId73" Type="http://schemas.openxmlformats.org/officeDocument/2006/relationships/hyperlink" Target="https://www.parlamento.pt/DeputadoGP/Paginas/Biografia.aspx?BID=321" TargetMode="External"/><Relationship Id="rId78" Type="http://schemas.openxmlformats.org/officeDocument/2006/relationships/hyperlink" Target="https://www.parlamento.pt/DeputadoGP/Paginas/Biografia.aspx?BID=1478" TargetMode="External"/><Relationship Id="rId94" Type="http://schemas.openxmlformats.org/officeDocument/2006/relationships/hyperlink" Target="https://www.parlamento.pt/DeputadoGP/Paginas/Biografia.aspx?BID=4452" TargetMode="External"/><Relationship Id="rId99" Type="http://schemas.openxmlformats.org/officeDocument/2006/relationships/hyperlink" Target="https://www.parlamento.pt/DeputadoGP/Paginas/Biografia.aspx?BID=2885" TargetMode="External"/><Relationship Id="rId101" Type="http://schemas.openxmlformats.org/officeDocument/2006/relationships/hyperlink" Target="https://www.parlamento.pt/DeputadoGP/Paginas/Biografia.aspx?BID=7317" TargetMode="External"/><Relationship Id="rId122" Type="http://schemas.openxmlformats.org/officeDocument/2006/relationships/hyperlink" Target="https://www.parlamento.pt/DeputadoGP/Paginas/Biografia.aspx?BID=9110" TargetMode="External"/><Relationship Id="rId143" Type="http://schemas.openxmlformats.org/officeDocument/2006/relationships/hyperlink" Target="https://www.parlamento.pt/DeputadoGP/Paginas/Biografia.aspx?BID=6934" TargetMode="External"/><Relationship Id="rId148" Type="http://schemas.openxmlformats.org/officeDocument/2006/relationships/hyperlink" Target="https://www.parlamento.pt/DeputadoGP/Paginas/Biografia.aspx?BID=4328" TargetMode="External"/><Relationship Id="rId164" Type="http://schemas.openxmlformats.org/officeDocument/2006/relationships/hyperlink" Target="https://www.parlamento.pt/DeputadoGP/Paginas/Biografia.aspx?BID=9409" TargetMode="External"/><Relationship Id="rId169" Type="http://schemas.openxmlformats.org/officeDocument/2006/relationships/hyperlink" Target="https://www.parlamento.pt/DeputadoGP/Paginas/Biografia.aspx?BID=9357" TargetMode="External"/><Relationship Id="rId185" Type="http://schemas.openxmlformats.org/officeDocument/2006/relationships/hyperlink" Target="https://www.parlamento.pt/DeputadoGP/Paginas/Biografia.aspx?BID=7336" TargetMode="External"/><Relationship Id="rId4" Type="http://schemas.openxmlformats.org/officeDocument/2006/relationships/hyperlink" Target="https://www.parlamento.pt/DeputadoGP/Paginas/Biografia.aspx?BID=7240" TargetMode="External"/><Relationship Id="rId9" Type="http://schemas.openxmlformats.org/officeDocument/2006/relationships/hyperlink" Target="https://www.parlamento.pt/DeputadoGP/Paginas/Biografia.aspx?BID=8179" TargetMode="External"/><Relationship Id="rId180" Type="http://schemas.openxmlformats.org/officeDocument/2006/relationships/hyperlink" Target="https://www.parlamento.pt/DeputadoGP/Paginas/Biografia.aspx?BID=7346" TargetMode="External"/><Relationship Id="rId210" Type="http://schemas.openxmlformats.org/officeDocument/2006/relationships/hyperlink" Target="https://www.parlamento.pt/DeputadoGP/Paginas/Biografia.aspx?BID=7342" TargetMode="External"/><Relationship Id="rId215" Type="http://schemas.openxmlformats.org/officeDocument/2006/relationships/hyperlink" Target="https://www.parlamento.pt/DeputadoGP/Paginas/Biografia.aspx?BID=5749" TargetMode="External"/><Relationship Id="rId26" Type="http://schemas.openxmlformats.org/officeDocument/2006/relationships/hyperlink" Target="https://www.parlamento.pt/DeputadoGP/Paginas/Biografia.aspx?BID=9650" TargetMode="External"/><Relationship Id="rId47" Type="http://schemas.openxmlformats.org/officeDocument/2006/relationships/hyperlink" Target="https://www.parlamento.pt/DeputadoGP/Paginas/Biografia.aspx?BID=5852" TargetMode="External"/><Relationship Id="rId68" Type="http://schemas.openxmlformats.org/officeDocument/2006/relationships/hyperlink" Target="https://www.parlamento.pt/DeputadoGP/Paginas/Biografia.aspx?BID=9060" TargetMode="External"/><Relationship Id="rId89" Type="http://schemas.openxmlformats.org/officeDocument/2006/relationships/hyperlink" Target="https://www.parlamento.pt/DeputadoGP/Paginas/Biografia.aspx?BID=9484" TargetMode="External"/><Relationship Id="rId112" Type="http://schemas.openxmlformats.org/officeDocument/2006/relationships/hyperlink" Target="https://www.parlamento.pt/DeputadoGP/Paginas/Biografia.aspx?BID=7723" TargetMode="External"/><Relationship Id="rId133" Type="http://schemas.openxmlformats.org/officeDocument/2006/relationships/hyperlink" Target="https://www.parlamento.pt/DeputadoGP/Paginas/Biografia.aspx?BID=7347" TargetMode="External"/><Relationship Id="rId154" Type="http://schemas.openxmlformats.org/officeDocument/2006/relationships/hyperlink" Target="https://www.parlamento.pt/DeputadoGP/Paginas/Biografia.aspx?BID=9020" TargetMode="External"/><Relationship Id="rId175" Type="http://schemas.openxmlformats.org/officeDocument/2006/relationships/hyperlink" Target="https://www.parlamento.pt/DeputadoGP/Paginas/Biografia.aspx?BID=8719" TargetMode="External"/><Relationship Id="rId196" Type="http://schemas.openxmlformats.org/officeDocument/2006/relationships/hyperlink" Target="https://www.parlamento.pt/DeputadoGP/Paginas/Biografia.aspx?BID=8916" TargetMode="External"/><Relationship Id="rId200" Type="http://schemas.openxmlformats.org/officeDocument/2006/relationships/hyperlink" Target="https://www.parlamento.pt/DeputadoGP/Paginas/Biografia.aspx?BID=7883" TargetMode="External"/><Relationship Id="rId16" Type="http://schemas.openxmlformats.org/officeDocument/2006/relationships/hyperlink" Target="https://www.parlamento.pt/DeputadoGP/Paginas/Biografia.aspx?BID=6535" TargetMode="External"/><Relationship Id="rId221" Type="http://schemas.openxmlformats.org/officeDocument/2006/relationships/hyperlink" Target="https://www.parlamento.pt/DeputadoGP/Paginas/Biografia.aspx?BID=9109" TargetMode="External"/><Relationship Id="rId37" Type="http://schemas.openxmlformats.org/officeDocument/2006/relationships/hyperlink" Target="https://www.parlamento.pt/DeputadoGP/Paginas/Biografia.aspx?BID=8788" TargetMode="External"/><Relationship Id="rId58" Type="http://schemas.openxmlformats.org/officeDocument/2006/relationships/hyperlink" Target="https://www.parlamento.pt/DeputadoGP/Paginas/Biografia.aspx?BID=4186" TargetMode="External"/><Relationship Id="rId79" Type="http://schemas.openxmlformats.org/officeDocument/2006/relationships/hyperlink" Target="https://www.parlamento.pt/DeputadoGP/Paginas/Biografia.aspx?BID=8526" TargetMode="External"/><Relationship Id="rId102" Type="http://schemas.openxmlformats.org/officeDocument/2006/relationships/hyperlink" Target="https://www.parlamento.pt/DeputadoGP/Paginas/Biografia.aspx?BID=7589" TargetMode="External"/><Relationship Id="rId123" Type="http://schemas.openxmlformats.org/officeDocument/2006/relationships/hyperlink" Target="https://www.parlamento.pt/DeputadoGP/Paginas/Biografia.aspx?BID=5595" TargetMode="External"/><Relationship Id="rId144" Type="http://schemas.openxmlformats.org/officeDocument/2006/relationships/hyperlink" Target="https://www.parlamento.pt/DeputadoGP/Paginas/Biografia.aspx?BID=6870" TargetMode="External"/><Relationship Id="rId90" Type="http://schemas.openxmlformats.org/officeDocument/2006/relationships/hyperlink" Target="https://www.parlamento.pt/DeputadoGP/Paginas/Biografia.aspx?BID=8551" TargetMode="External"/><Relationship Id="rId165" Type="http://schemas.openxmlformats.org/officeDocument/2006/relationships/hyperlink" Target="https://www.parlamento.pt/DeputadoGP/Paginas/Biografia.aspx?BID=3918" TargetMode="External"/><Relationship Id="rId186" Type="http://schemas.openxmlformats.org/officeDocument/2006/relationships/hyperlink" Target="https://www.parlamento.pt/DeputadoGP/Paginas/Biografia.aspx?BID=1992" TargetMode="External"/><Relationship Id="rId211" Type="http://schemas.openxmlformats.org/officeDocument/2006/relationships/hyperlink" Target="https://www.parlamento.pt/DeputadoGP/Paginas/Biografia.aspx?BID=7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05D9-00B4-40CE-8527-2602ACF1099E}">
  <dimension ref="A2:N243"/>
  <sheetViews>
    <sheetView tabSelected="1" topLeftCell="A65" workbookViewId="0">
      <selection activeCell="N40" sqref="N40"/>
    </sheetView>
  </sheetViews>
  <sheetFormatPr defaultRowHeight="12.75" x14ac:dyDescent="0.2"/>
  <cols>
    <col min="1" max="1" width="24.5703125" bestFit="1" customWidth="1"/>
    <col min="2" max="2" width="18" bestFit="1" customWidth="1"/>
    <col min="3" max="3" width="28.28515625" bestFit="1" customWidth="1"/>
    <col min="4" max="4" width="10" bestFit="1" customWidth="1"/>
    <col min="5" max="5" width="9.28515625" bestFit="1" customWidth="1"/>
    <col min="7" max="7" width="12.42578125" customWidth="1"/>
    <col min="14" max="14" width="22.28515625" customWidth="1"/>
  </cols>
  <sheetData>
    <row r="2" spans="1:13" ht="14.25" x14ac:dyDescent="0.2">
      <c r="H2" s="33" t="s">
        <v>513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512</v>
      </c>
      <c r="H3" s="30" t="s">
        <v>0</v>
      </c>
      <c r="I3" s="31" t="s">
        <v>1</v>
      </c>
      <c r="J3" s="34" t="s">
        <v>2</v>
      </c>
      <c r="K3" s="31" t="s">
        <v>3</v>
      </c>
      <c r="L3" s="31" t="s">
        <v>4</v>
      </c>
      <c r="M3" s="32" t="s">
        <v>512</v>
      </c>
    </row>
    <row r="4" spans="1:13" x14ac:dyDescent="0.2">
      <c r="A4" t="s">
        <v>454</v>
      </c>
      <c r="B4" t="s">
        <v>13</v>
      </c>
      <c r="C4" t="s">
        <v>11</v>
      </c>
      <c r="D4" t="s">
        <v>14</v>
      </c>
      <c r="E4">
        <v>43</v>
      </c>
      <c r="F4">
        <f ca="1">RAND()</f>
        <v>0.70832348224932018</v>
      </c>
      <c r="H4" s="27" t="s">
        <v>353</v>
      </c>
      <c r="I4" s="28" t="s">
        <v>64</v>
      </c>
      <c r="J4" s="28" t="s">
        <v>28</v>
      </c>
      <c r="K4" s="28" t="s">
        <v>8</v>
      </c>
      <c r="L4" s="28">
        <v>63</v>
      </c>
      <c r="M4" s="29">
        <f ca="1">RAND()</f>
        <v>7.5254531372994649E-3</v>
      </c>
    </row>
    <row r="5" spans="1:13" x14ac:dyDescent="0.2">
      <c r="A5" t="s">
        <v>278</v>
      </c>
      <c r="B5" t="s">
        <v>27</v>
      </c>
      <c r="C5" t="s">
        <v>7</v>
      </c>
      <c r="D5" t="s">
        <v>14</v>
      </c>
      <c r="E5">
        <v>57</v>
      </c>
      <c r="F5">
        <f ca="1">RAND()</f>
        <v>0.24805383662887059</v>
      </c>
      <c r="H5" s="27" t="s">
        <v>303</v>
      </c>
      <c r="I5" s="28" t="s">
        <v>57</v>
      </c>
      <c r="J5" s="28" t="s">
        <v>11</v>
      </c>
      <c r="K5" s="28" t="s">
        <v>8</v>
      </c>
      <c r="L5" s="28">
        <v>54</v>
      </c>
      <c r="M5" s="29">
        <f ca="1">RAND()</f>
        <v>0.30707419018169801</v>
      </c>
    </row>
    <row r="6" spans="1:13" x14ac:dyDescent="0.2">
      <c r="A6" t="s">
        <v>398</v>
      </c>
      <c r="B6" t="s">
        <v>17</v>
      </c>
      <c r="C6" t="s">
        <v>11</v>
      </c>
      <c r="D6" t="s">
        <v>14</v>
      </c>
      <c r="E6">
        <v>51</v>
      </c>
      <c r="F6">
        <f ca="1">RAND()</f>
        <v>0.28919262616169594</v>
      </c>
      <c r="H6" s="24" t="s">
        <v>470</v>
      </c>
      <c r="I6" s="25" t="s">
        <v>33</v>
      </c>
      <c r="J6" s="25" t="s">
        <v>11</v>
      </c>
      <c r="K6" s="25" t="s">
        <v>8</v>
      </c>
      <c r="L6" s="25">
        <v>47</v>
      </c>
      <c r="M6" s="26">
        <f ca="1">RAND()</f>
        <v>9.166263942939612E-2</v>
      </c>
    </row>
    <row r="7" spans="1:13" x14ac:dyDescent="0.2">
      <c r="A7" t="s">
        <v>332</v>
      </c>
      <c r="B7" t="s">
        <v>55</v>
      </c>
      <c r="C7" t="s">
        <v>7</v>
      </c>
      <c r="D7" t="s">
        <v>14</v>
      </c>
      <c r="E7">
        <v>65</v>
      </c>
      <c r="F7">
        <f ca="1">RAND()</f>
        <v>0.5912270112588347</v>
      </c>
      <c r="H7" s="24" t="s">
        <v>413</v>
      </c>
      <c r="I7" s="25" t="s">
        <v>84</v>
      </c>
      <c r="J7" s="25" t="s">
        <v>7</v>
      </c>
      <c r="K7" s="25" t="s">
        <v>8</v>
      </c>
      <c r="L7" s="25">
        <v>47</v>
      </c>
      <c r="M7" s="26">
        <f ca="1">RAND()</f>
        <v>0.90690620659173948</v>
      </c>
    </row>
    <row r="8" spans="1:13" x14ac:dyDescent="0.2">
      <c r="A8" t="s">
        <v>336</v>
      </c>
      <c r="B8" t="s">
        <v>104</v>
      </c>
      <c r="C8" t="s">
        <v>11</v>
      </c>
      <c r="D8" t="s">
        <v>14</v>
      </c>
      <c r="E8">
        <v>46</v>
      </c>
      <c r="F8">
        <f ca="1">RAND()</f>
        <v>0.45083798244472628</v>
      </c>
      <c r="H8" s="27" t="s">
        <v>320</v>
      </c>
      <c r="I8" s="28" t="s">
        <v>144</v>
      </c>
      <c r="J8" s="28" t="s">
        <v>7</v>
      </c>
      <c r="K8" s="28" t="s">
        <v>8</v>
      </c>
      <c r="L8" s="28">
        <v>64</v>
      </c>
      <c r="M8" s="29">
        <f ca="1">RAND()</f>
        <v>0.86443458196083922</v>
      </c>
    </row>
    <row r="9" spans="1:13" x14ac:dyDescent="0.2">
      <c r="A9" t="s">
        <v>356</v>
      </c>
      <c r="B9" t="s">
        <v>64</v>
      </c>
      <c r="C9" t="s">
        <v>7</v>
      </c>
      <c r="D9" t="s">
        <v>14</v>
      </c>
      <c r="E9">
        <v>52</v>
      </c>
      <c r="F9">
        <f ca="1">RAND()</f>
        <v>0.92978092261263046</v>
      </c>
      <c r="H9" s="27" t="s">
        <v>483</v>
      </c>
      <c r="I9" s="28" t="s">
        <v>80</v>
      </c>
      <c r="J9" s="28" t="s">
        <v>28</v>
      </c>
      <c r="K9" s="28" t="s">
        <v>14</v>
      </c>
      <c r="L9" s="28">
        <v>68</v>
      </c>
      <c r="M9" s="29">
        <f ca="1">RAND()</f>
        <v>0.51112118492759917</v>
      </c>
    </row>
    <row r="10" spans="1:13" x14ac:dyDescent="0.2">
      <c r="A10" t="s">
        <v>376</v>
      </c>
      <c r="B10" t="s">
        <v>17</v>
      </c>
      <c r="C10" t="s">
        <v>7</v>
      </c>
      <c r="D10" t="s">
        <v>14</v>
      </c>
      <c r="E10">
        <v>46</v>
      </c>
      <c r="F10">
        <f ca="1">RAND()</f>
        <v>0.32321104422609936</v>
      </c>
      <c r="H10" s="24" t="s">
        <v>324</v>
      </c>
      <c r="I10" s="25" t="s">
        <v>30</v>
      </c>
      <c r="J10" s="25" t="s">
        <v>28</v>
      </c>
      <c r="K10" s="25" t="s">
        <v>14</v>
      </c>
      <c r="L10" s="25">
        <v>66</v>
      </c>
      <c r="M10" s="26">
        <f ca="1">RAND()</f>
        <v>0.94138434476936628</v>
      </c>
    </row>
    <row r="11" spans="1:13" x14ac:dyDescent="0.2">
      <c r="A11" t="s">
        <v>359</v>
      </c>
      <c r="B11" t="s">
        <v>64</v>
      </c>
      <c r="C11" t="s">
        <v>7</v>
      </c>
      <c r="D11" t="s">
        <v>14</v>
      </c>
      <c r="E11">
        <v>42</v>
      </c>
      <c r="F11">
        <f ca="1">RAND()</f>
        <v>0.69150333317275103</v>
      </c>
      <c r="H11" s="27" t="s">
        <v>441</v>
      </c>
      <c r="I11" s="28" t="s">
        <v>13</v>
      </c>
      <c r="J11" s="28" t="s">
        <v>28</v>
      </c>
      <c r="K11" s="28" t="s">
        <v>14</v>
      </c>
      <c r="L11" s="28">
        <v>78</v>
      </c>
      <c r="M11" s="29">
        <f ca="1">RAND()</f>
        <v>0.2057628643524253</v>
      </c>
    </row>
    <row r="12" spans="1:13" x14ac:dyDescent="0.2">
      <c r="A12" t="s">
        <v>393</v>
      </c>
      <c r="B12" t="s">
        <v>17</v>
      </c>
      <c r="C12" t="s">
        <v>7</v>
      </c>
      <c r="D12" t="s">
        <v>14</v>
      </c>
      <c r="E12">
        <v>46</v>
      </c>
      <c r="F12">
        <f ca="1">RAND()</f>
        <v>0.6971055848225759</v>
      </c>
      <c r="H12" s="27" t="s">
        <v>311</v>
      </c>
      <c r="I12" s="28" t="s">
        <v>57</v>
      </c>
      <c r="J12" s="28" t="s">
        <v>38</v>
      </c>
      <c r="K12" s="28" t="s">
        <v>14</v>
      </c>
      <c r="L12" s="28">
        <v>60</v>
      </c>
      <c r="M12" s="29">
        <f ca="1">RAND()</f>
        <v>0.96143261585498918</v>
      </c>
    </row>
    <row r="13" spans="1:13" x14ac:dyDescent="0.2">
      <c r="A13" t="s">
        <v>364</v>
      </c>
      <c r="B13" t="s">
        <v>17</v>
      </c>
      <c r="C13" t="s">
        <v>28</v>
      </c>
      <c r="D13" t="s">
        <v>14</v>
      </c>
      <c r="E13">
        <v>43</v>
      </c>
      <c r="F13">
        <f ca="1">RAND()</f>
        <v>0.24230652943475728</v>
      </c>
      <c r="H13" s="24" t="s">
        <v>363</v>
      </c>
      <c r="I13" s="25" t="s">
        <v>17</v>
      </c>
      <c r="J13" s="25" t="s">
        <v>11</v>
      </c>
      <c r="K13" s="25" t="s">
        <v>14</v>
      </c>
      <c r="L13" s="25">
        <v>42</v>
      </c>
      <c r="M13" s="26">
        <f ca="1">RAND()</f>
        <v>0.18429735028247807</v>
      </c>
    </row>
    <row r="14" spans="1:13" x14ac:dyDescent="0.2">
      <c r="A14" t="s">
        <v>499</v>
      </c>
      <c r="B14" t="s">
        <v>45</v>
      </c>
      <c r="C14" t="s">
        <v>28</v>
      </c>
      <c r="D14" t="s">
        <v>14</v>
      </c>
      <c r="E14">
        <v>39</v>
      </c>
      <c r="F14">
        <f ca="1">RAND()</f>
        <v>0.81756569801907242</v>
      </c>
      <c r="H14" s="24" t="s">
        <v>336</v>
      </c>
      <c r="I14" s="25" t="s">
        <v>104</v>
      </c>
      <c r="J14" s="25" t="s">
        <v>11</v>
      </c>
      <c r="K14" s="25" t="s">
        <v>14</v>
      </c>
      <c r="L14" s="25">
        <v>46</v>
      </c>
      <c r="M14" s="26">
        <f ca="1">RAND()</f>
        <v>0.78361474080039417</v>
      </c>
    </row>
    <row r="15" spans="1:13" x14ac:dyDescent="0.2">
      <c r="A15" t="s">
        <v>288</v>
      </c>
      <c r="B15" t="s">
        <v>6</v>
      </c>
      <c r="C15" t="s">
        <v>38</v>
      </c>
      <c r="D15" t="s">
        <v>14</v>
      </c>
      <c r="E15">
        <v>60</v>
      </c>
      <c r="F15">
        <f ca="1">RAND()</f>
        <v>0.55568535666611296</v>
      </c>
      <c r="H15" s="24" t="s">
        <v>437</v>
      </c>
      <c r="I15" s="25" t="s">
        <v>13</v>
      </c>
      <c r="J15" s="25" t="s">
        <v>11</v>
      </c>
      <c r="K15" s="25" t="s">
        <v>14</v>
      </c>
      <c r="L15" s="25">
        <v>66</v>
      </c>
      <c r="M15" s="26">
        <f ca="1">RAND()</f>
        <v>0.92466921206943131</v>
      </c>
    </row>
    <row r="16" spans="1:13" x14ac:dyDescent="0.2">
      <c r="A16" t="s">
        <v>345</v>
      </c>
      <c r="B16" t="s">
        <v>47</v>
      </c>
      <c r="C16" t="s">
        <v>11</v>
      </c>
      <c r="D16" t="s">
        <v>14</v>
      </c>
      <c r="E16">
        <v>56</v>
      </c>
      <c r="F16">
        <f ca="1">RAND()</f>
        <v>0.15872896926951319</v>
      </c>
      <c r="H16" s="27" t="s">
        <v>308</v>
      </c>
      <c r="I16" s="28" t="s">
        <v>57</v>
      </c>
      <c r="J16" s="28" t="s">
        <v>11</v>
      </c>
      <c r="K16" s="28" t="s">
        <v>14</v>
      </c>
      <c r="L16" s="28">
        <v>50</v>
      </c>
      <c r="M16" s="29">
        <f ca="1">RAND()</f>
        <v>0.79584816757376631</v>
      </c>
    </row>
    <row r="17" spans="1:14" x14ac:dyDescent="0.2">
      <c r="A17" t="s">
        <v>476</v>
      </c>
      <c r="B17" t="s">
        <v>33</v>
      </c>
      <c r="C17" t="s">
        <v>7</v>
      </c>
      <c r="D17" t="s">
        <v>14</v>
      </c>
      <c r="E17">
        <v>54</v>
      </c>
      <c r="F17">
        <f ca="1">RAND()</f>
        <v>0.16034502192287992</v>
      </c>
      <c r="H17" s="27" t="s">
        <v>338</v>
      </c>
      <c r="I17" s="28" t="s">
        <v>47</v>
      </c>
      <c r="J17" s="28" t="s">
        <v>7</v>
      </c>
      <c r="K17" s="28" t="s">
        <v>14</v>
      </c>
      <c r="L17" s="28">
        <v>50</v>
      </c>
      <c r="M17" s="29">
        <f ca="1">RAND()</f>
        <v>0.82912861552309913</v>
      </c>
    </row>
    <row r="18" spans="1:14" x14ac:dyDescent="0.2">
      <c r="A18" t="s">
        <v>459</v>
      </c>
      <c r="B18" t="s">
        <v>66</v>
      </c>
      <c r="C18" t="s">
        <v>28</v>
      </c>
      <c r="D18" t="s">
        <v>14</v>
      </c>
      <c r="E18">
        <v>43</v>
      </c>
      <c r="F18">
        <f ca="1">RAND()</f>
        <v>0.26403001466310672</v>
      </c>
      <c r="H18" s="24" t="s">
        <v>485</v>
      </c>
      <c r="I18" s="25" t="s">
        <v>80</v>
      </c>
      <c r="J18" s="25" t="s">
        <v>7</v>
      </c>
      <c r="K18" s="25" t="s">
        <v>14</v>
      </c>
      <c r="L18" s="25">
        <v>63</v>
      </c>
      <c r="M18" s="26">
        <f ca="1">RAND()</f>
        <v>0.9742623120232996</v>
      </c>
    </row>
    <row r="19" spans="1:14" x14ac:dyDescent="0.2">
      <c r="A19" t="s">
        <v>468</v>
      </c>
      <c r="B19" t="s">
        <v>33</v>
      </c>
      <c r="C19" t="s">
        <v>28</v>
      </c>
      <c r="D19" t="s">
        <v>8</v>
      </c>
      <c r="E19">
        <v>52</v>
      </c>
      <c r="F19">
        <f ca="1">RAND()</f>
        <v>0.96700501668494232</v>
      </c>
    </row>
    <row r="20" spans="1:14" ht="14.25" x14ac:dyDescent="0.2">
      <c r="A20" t="s">
        <v>410</v>
      </c>
      <c r="B20" t="s">
        <v>84</v>
      </c>
      <c r="C20" t="s">
        <v>28</v>
      </c>
      <c r="D20" t="s">
        <v>14</v>
      </c>
      <c r="E20">
        <v>46</v>
      </c>
      <c r="F20">
        <f ca="1">RAND()</f>
        <v>0.58483401104745825</v>
      </c>
      <c r="J20" s="33" t="s">
        <v>7</v>
      </c>
      <c r="K20" s="40" t="s">
        <v>515</v>
      </c>
      <c r="L20" s="45">
        <v>0.26669999999999999</v>
      </c>
    </row>
    <row r="21" spans="1:14" ht="14.25" x14ac:dyDescent="0.2">
      <c r="A21" t="s">
        <v>409</v>
      </c>
      <c r="B21" t="s">
        <v>84</v>
      </c>
      <c r="C21" t="s">
        <v>99</v>
      </c>
      <c r="D21" t="s">
        <v>14</v>
      </c>
      <c r="E21">
        <v>62</v>
      </c>
      <c r="F21">
        <f ca="1">RAND()</f>
        <v>0.92457297325187049</v>
      </c>
      <c r="J21" s="33" t="s">
        <v>11</v>
      </c>
      <c r="K21" s="40" t="s">
        <v>516</v>
      </c>
      <c r="L21" s="46">
        <v>0.4</v>
      </c>
      <c r="M21" s="44"/>
    </row>
    <row r="22" spans="1:14" ht="14.25" x14ac:dyDescent="0.2">
      <c r="A22" t="s">
        <v>304</v>
      </c>
      <c r="B22" t="s">
        <v>57</v>
      </c>
      <c r="C22" t="s">
        <v>7</v>
      </c>
      <c r="D22" t="s">
        <v>14</v>
      </c>
      <c r="E22">
        <v>36</v>
      </c>
      <c r="F22">
        <f ca="1">RAND()</f>
        <v>0.61279155182073475</v>
      </c>
      <c r="J22" s="33" t="s">
        <v>28</v>
      </c>
      <c r="K22" s="40" t="s">
        <v>515</v>
      </c>
      <c r="L22" s="43">
        <v>0.26669999999999999</v>
      </c>
    </row>
    <row r="23" spans="1:14" ht="14.25" x14ac:dyDescent="0.2">
      <c r="A23" t="s">
        <v>479</v>
      </c>
      <c r="B23" t="s">
        <v>33</v>
      </c>
      <c r="C23" t="s">
        <v>28</v>
      </c>
      <c r="D23" t="s">
        <v>14</v>
      </c>
      <c r="E23">
        <v>58</v>
      </c>
      <c r="F23">
        <f ca="1">RAND()</f>
        <v>0.2838980995001924</v>
      </c>
      <c r="J23" s="33" t="s">
        <v>38</v>
      </c>
      <c r="K23" s="41" t="s">
        <v>514</v>
      </c>
      <c r="L23" s="45">
        <v>6.6600000000000006E-2</v>
      </c>
    </row>
    <row r="24" spans="1:14" ht="14.25" x14ac:dyDescent="0.2">
      <c r="A24" t="s">
        <v>350</v>
      </c>
      <c r="B24" t="s">
        <v>10</v>
      </c>
      <c r="C24" t="s">
        <v>28</v>
      </c>
      <c r="D24" t="s">
        <v>14</v>
      </c>
      <c r="E24">
        <v>50</v>
      </c>
      <c r="F24">
        <f ca="1">RAND()</f>
        <v>0.88019565719499593</v>
      </c>
      <c r="J24" s="33" t="s">
        <v>14</v>
      </c>
      <c r="K24" s="33" t="s">
        <v>8</v>
      </c>
    </row>
    <row r="25" spans="1:14" ht="14.25" x14ac:dyDescent="0.2">
      <c r="A25" t="s">
        <v>433</v>
      </c>
      <c r="B25" t="s">
        <v>13</v>
      </c>
      <c r="C25" t="s">
        <v>7</v>
      </c>
      <c r="D25" t="s">
        <v>14</v>
      </c>
      <c r="E25">
        <v>44</v>
      </c>
      <c r="F25">
        <f ca="1">RAND()</f>
        <v>0.59323647688311176</v>
      </c>
      <c r="J25" s="40" t="s">
        <v>518</v>
      </c>
      <c r="K25" s="42" t="s">
        <v>519</v>
      </c>
    </row>
    <row r="26" spans="1:14" ht="14.25" x14ac:dyDescent="0.2">
      <c r="A26" t="s">
        <v>347</v>
      </c>
      <c r="B26" t="s">
        <v>155</v>
      </c>
      <c r="C26" t="s">
        <v>28</v>
      </c>
      <c r="D26" t="s">
        <v>14</v>
      </c>
      <c r="E26">
        <v>48</v>
      </c>
      <c r="F26">
        <f ca="1">RAND()</f>
        <v>1.0166035194651979E-2</v>
      </c>
      <c r="J26" s="43">
        <v>0.66</v>
      </c>
      <c r="K26" s="43">
        <v>0.33</v>
      </c>
    </row>
    <row r="27" spans="1:14" ht="14.25" x14ac:dyDescent="0.2">
      <c r="A27" t="s">
        <v>328</v>
      </c>
      <c r="B27" t="s">
        <v>30</v>
      </c>
      <c r="C27" t="s">
        <v>28</v>
      </c>
      <c r="D27" t="s">
        <v>14</v>
      </c>
      <c r="E27">
        <v>53</v>
      </c>
      <c r="F27">
        <f ca="1">RAND()</f>
        <v>0.49438507581069835</v>
      </c>
      <c r="J27" s="33" t="s">
        <v>517</v>
      </c>
      <c r="K27" s="33">
        <f>AVERAGE(L4:L18)</f>
        <v>57.6</v>
      </c>
    </row>
    <row r="28" spans="1:14" x14ac:dyDescent="0.2">
      <c r="A28" t="s">
        <v>367</v>
      </c>
      <c r="B28" t="s">
        <v>17</v>
      </c>
      <c r="C28" t="s">
        <v>28</v>
      </c>
      <c r="D28" t="s">
        <v>14</v>
      </c>
      <c r="E28">
        <v>50</v>
      </c>
      <c r="F28">
        <f ca="1">RAND()</f>
        <v>0.47598749143772312</v>
      </c>
      <c r="N28" s="35" t="s">
        <v>520</v>
      </c>
    </row>
    <row r="29" spans="1:14" x14ac:dyDescent="0.2">
      <c r="A29" t="s">
        <v>275</v>
      </c>
      <c r="B29" t="s">
        <v>27</v>
      </c>
      <c r="C29" t="s">
        <v>11</v>
      </c>
      <c r="D29" t="s">
        <v>14</v>
      </c>
      <c r="E29">
        <v>48</v>
      </c>
      <c r="F29">
        <f ca="1">RAND()</f>
        <v>0.95852758361306201</v>
      </c>
      <c r="H29" s="38" t="s">
        <v>454</v>
      </c>
      <c r="I29" s="39" t="s">
        <v>13</v>
      </c>
      <c r="J29" s="39" t="s">
        <v>11</v>
      </c>
      <c r="K29" s="39" t="s">
        <v>14</v>
      </c>
      <c r="L29" s="39">
        <v>43</v>
      </c>
      <c r="N29" s="35" t="s">
        <v>521</v>
      </c>
    </row>
    <row r="30" spans="1:14" x14ac:dyDescent="0.2">
      <c r="A30" t="s">
        <v>399</v>
      </c>
      <c r="B30" t="s">
        <v>17</v>
      </c>
      <c r="C30" t="s">
        <v>7</v>
      </c>
      <c r="D30" t="s">
        <v>8</v>
      </c>
      <c r="E30">
        <v>51</v>
      </c>
      <c r="F30">
        <f ca="1">RAND()</f>
        <v>0.50080505546552556</v>
      </c>
      <c r="H30" s="36" t="s">
        <v>364</v>
      </c>
      <c r="I30" s="37" t="s">
        <v>17</v>
      </c>
      <c r="J30" s="37" t="s">
        <v>28</v>
      </c>
      <c r="K30" s="37" t="s">
        <v>14</v>
      </c>
      <c r="L30" s="37">
        <v>43</v>
      </c>
      <c r="N30" s="35" t="s">
        <v>522</v>
      </c>
    </row>
    <row r="31" spans="1:14" x14ac:dyDescent="0.2">
      <c r="A31" t="s">
        <v>426</v>
      </c>
      <c r="B31" t="s">
        <v>13</v>
      </c>
      <c r="C31" t="s">
        <v>28</v>
      </c>
      <c r="D31" t="s">
        <v>14</v>
      </c>
      <c r="E31">
        <v>77</v>
      </c>
      <c r="F31">
        <f ca="1">RAND()</f>
        <v>6.5789836063908202E-2</v>
      </c>
      <c r="H31" s="38" t="s">
        <v>398</v>
      </c>
      <c r="I31" s="39" t="s">
        <v>17</v>
      </c>
      <c r="J31" s="39" t="s">
        <v>11</v>
      </c>
      <c r="K31" s="39" t="s">
        <v>14</v>
      </c>
      <c r="L31" s="39">
        <v>51</v>
      </c>
    </row>
    <row r="32" spans="1:14" x14ac:dyDescent="0.2">
      <c r="A32" t="s">
        <v>377</v>
      </c>
      <c r="B32" t="s">
        <v>17</v>
      </c>
      <c r="C32" t="s">
        <v>127</v>
      </c>
      <c r="D32" t="s">
        <v>8</v>
      </c>
      <c r="E32">
        <v>46</v>
      </c>
      <c r="F32">
        <f ca="1">RAND()</f>
        <v>0.65606636415557507</v>
      </c>
      <c r="H32" s="38" t="s">
        <v>336</v>
      </c>
      <c r="I32" s="39" t="s">
        <v>104</v>
      </c>
      <c r="J32" s="39" t="s">
        <v>11</v>
      </c>
      <c r="K32" s="39" t="s">
        <v>14</v>
      </c>
      <c r="L32" s="39">
        <v>46</v>
      </c>
    </row>
    <row r="33" spans="1:12" x14ac:dyDescent="0.2">
      <c r="A33" t="s">
        <v>420</v>
      </c>
      <c r="B33" t="s">
        <v>13</v>
      </c>
      <c r="C33" t="s">
        <v>7</v>
      </c>
      <c r="D33" t="s">
        <v>8</v>
      </c>
      <c r="E33">
        <v>47</v>
      </c>
      <c r="F33">
        <f ca="1">RAND()</f>
        <v>0.17811312946517988</v>
      </c>
      <c r="H33" s="36" t="s">
        <v>278</v>
      </c>
      <c r="I33" s="37" t="s">
        <v>27</v>
      </c>
      <c r="J33" s="37" t="s">
        <v>7</v>
      </c>
      <c r="K33" s="37" t="s">
        <v>14</v>
      </c>
      <c r="L33" s="37">
        <v>57</v>
      </c>
    </row>
    <row r="34" spans="1:12" x14ac:dyDescent="0.2">
      <c r="A34" t="s">
        <v>360</v>
      </c>
      <c r="B34" t="s">
        <v>64</v>
      </c>
      <c r="C34" t="s">
        <v>28</v>
      </c>
      <c r="D34" t="s">
        <v>14</v>
      </c>
      <c r="E34">
        <v>34</v>
      </c>
      <c r="F34">
        <f ca="1">RAND()</f>
        <v>0.1611318307591233</v>
      </c>
      <c r="H34" s="36" t="s">
        <v>332</v>
      </c>
      <c r="I34" s="37" t="s">
        <v>55</v>
      </c>
      <c r="J34" s="37" t="s">
        <v>7</v>
      </c>
      <c r="K34" s="37" t="s">
        <v>14</v>
      </c>
      <c r="L34" s="37">
        <v>65</v>
      </c>
    </row>
    <row r="35" spans="1:12" x14ac:dyDescent="0.2">
      <c r="A35" t="s">
        <v>293</v>
      </c>
      <c r="B35" t="s">
        <v>6</v>
      </c>
      <c r="C35" t="s">
        <v>11</v>
      </c>
      <c r="D35" t="s">
        <v>8</v>
      </c>
      <c r="E35">
        <v>52</v>
      </c>
      <c r="F35">
        <f ca="1">RAND()</f>
        <v>0.70310702831683791</v>
      </c>
      <c r="H35" s="36" t="s">
        <v>356</v>
      </c>
      <c r="I35" s="37" t="s">
        <v>64</v>
      </c>
      <c r="J35" s="37" t="s">
        <v>7</v>
      </c>
      <c r="K35" s="37" t="s">
        <v>14</v>
      </c>
      <c r="L35" s="37">
        <v>52</v>
      </c>
    </row>
    <row r="36" spans="1:12" x14ac:dyDescent="0.2">
      <c r="A36" t="s">
        <v>469</v>
      </c>
      <c r="B36" t="s">
        <v>33</v>
      </c>
      <c r="C36" t="s">
        <v>28</v>
      </c>
      <c r="D36" t="s">
        <v>14</v>
      </c>
      <c r="E36">
        <v>31</v>
      </c>
      <c r="F36">
        <f ca="1">RAND()</f>
        <v>0.88296842897915639</v>
      </c>
      <c r="H36" s="38" t="s">
        <v>376</v>
      </c>
      <c r="I36" s="39" t="s">
        <v>17</v>
      </c>
      <c r="J36" s="39" t="s">
        <v>7</v>
      </c>
      <c r="K36" s="39" t="s">
        <v>14</v>
      </c>
      <c r="L36" s="39">
        <v>46</v>
      </c>
    </row>
    <row r="37" spans="1:12" x14ac:dyDescent="0.2">
      <c r="A37" t="s">
        <v>480</v>
      </c>
      <c r="B37" t="s">
        <v>33</v>
      </c>
      <c r="C37" t="s">
        <v>28</v>
      </c>
      <c r="D37" t="s">
        <v>8</v>
      </c>
      <c r="E37">
        <v>43</v>
      </c>
      <c r="F37">
        <f ca="1">RAND()</f>
        <v>0.8222509421410702</v>
      </c>
      <c r="H37" s="36" t="s">
        <v>359</v>
      </c>
      <c r="I37" s="37" t="s">
        <v>64</v>
      </c>
      <c r="J37" s="37" t="s">
        <v>7</v>
      </c>
      <c r="K37" s="37" t="s">
        <v>14</v>
      </c>
      <c r="L37" s="37">
        <v>42</v>
      </c>
    </row>
    <row r="38" spans="1:12" x14ac:dyDescent="0.2">
      <c r="A38" t="s">
        <v>457</v>
      </c>
      <c r="B38" t="s">
        <v>66</v>
      </c>
      <c r="C38" t="s">
        <v>7</v>
      </c>
      <c r="D38" t="s">
        <v>8</v>
      </c>
      <c r="E38">
        <v>61</v>
      </c>
      <c r="F38">
        <f ca="1">RAND()</f>
        <v>0.71503470907070454</v>
      </c>
      <c r="H38" s="38" t="s">
        <v>393</v>
      </c>
      <c r="I38" s="39" t="s">
        <v>17</v>
      </c>
      <c r="J38" s="39" t="s">
        <v>7</v>
      </c>
      <c r="K38" s="39" t="s">
        <v>14</v>
      </c>
      <c r="L38" s="39">
        <v>46</v>
      </c>
    </row>
    <row r="39" spans="1:12" x14ac:dyDescent="0.2">
      <c r="A39" t="s">
        <v>484</v>
      </c>
      <c r="B39" t="s">
        <v>80</v>
      </c>
      <c r="C39" t="s">
        <v>7</v>
      </c>
      <c r="D39" t="s">
        <v>14</v>
      </c>
      <c r="E39">
        <v>68</v>
      </c>
      <c r="F39">
        <f ca="1">RAND()</f>
        <v>0.25740811749181314</v>
      </c>
    </row>
    <row r="40" spans="1:12" ht="14.25" x14ac:dyDescent="0.2">
      <c r="A40" t="s">
        <v>290</v>
      </c>
      <c r="B40" t="s">
        <v>6</v>
      </c>
      <c r="C40" t="s">
        <v>7</v>
      </c>
      <c r="D40" t="s">
        <v>14</v>
      </c>
      <c r="E40">
        <v>45</v>
      </c>
      <c r="F40">
        <f ca="1">RAND()</f>
        <v>0.27396185368579873</v>
      </c>
      <c r="J40" s="33" t="s">
        <v>11</v>
      </c>
      <c r="K40" s="40" t="s">
        <v>523</v>
      </c>
      <c r="L40" s="45">
        <v>0.53359999999999996</v>
      </c>
    </row>
    <row r="41" spans="1:12" ht="14.25" x14ac:dyDescent="0.2">
      <c r="A41" t="s">
        <v>284</v>
      </c>
      <c r="B41" t="s">
        <v>6</v>
      </c>
      <c r="C41" t="s">
        <v>7</v>
      </c>
      <c r="D41" t="s">
        <v>8</v>
      </c>
      <c r="E41">
        <v>49</v>
      </c>
      <c r="F41">
        <f ca="1">RAND()</f>
        <v>0.60205376130286992</v>
      </c>
      <c r="J41" s="33" t="s">
        <v>7</v>
      </c>
      <c r="K41" s="40" t="s">
        <v>516</v>
      </c>
      <c r="L41" s="46">
        <v>0.4</v>
      </c>
    </row>
    <row r="42" spans="1:12" ht="14.25" x14ac:dyDescent="0.2">
      <c r="A42" t="s">
        <v>381</v>
      </c>
      <c r="B42" t="s">
        <v>17</v>
      </c>
      <c r="C42" t="s">
        <v>38</v>
      </c>
      <c r="D42" t="s">
        <v>14</v>
      </c>
      <c r="E42">
        <v>32</v>
      </c>
      <c r="F42">
        <f ca="1">RAND()</f>
        <v>0.78449170413890357</v>
      </c>
      <c r="J42" s="33" t="s">
        <v>28</v>
      </c>
      <c r="K42" s="40" t="s">
        <v>514</v>
      </c>
      <c r="L42" s="43">
        <v>6.6400000000000001E-2</v>
      </c>
    </row>
    <row r="43" spans="1:12" ht="14.25" x14ac:dyDescent="0.2">
      <c r="A43" t="s">
        <v>424</v>
      </c>
      <c r="B43" t="s">
        <v>13</v>
      </c>
      <c r="C43" t="s">
        <v>28</v>
      </c>
      <c r="D43" t="s">
        <v>8</v>
      </c>
      <c r="E43">
        <v>41</v>
      </c>
      <c r="F43">
        <f ca="1">RAND()</f>
        <v>0.81041876549249758</v>
      </c>
      <c r="J43" s="33"/>
      <c r="K43" s="41"/>
      <c r="L43" s="45"/>
    </row>
    <row r="44" spans="1:12" ht="14.25" x14ac:dyDescent="0.2">
      <c r="A44" t="s">
        <v>392</v>
      </c>
      <c r="B44" t="s">
        <v>17</v>
      </c>
      <c r="C44" t="s">
        <v>95</v>
      </c>
      <c r="D44" t="s">
        <v>8</v>
      </c>
      <c r="E44">
        <v>57</v>
      </c>
      <c r="F44">
        <f ca="1">RAND()</f>
        <v>0.76767460505549712</v>
      </c>
      <c r="J44" s="33" t="s">
        <v>14</v>
      </c>
      <c r="K44" s="33" t="s">
        <v>8</v>
      </c>
    </row>
    <row r="45" spans="1:12" ht="14.25" x14ac:dyDescent="0.2">
      <c r="A45" t="s">
        <v>362</v>
      </c>
      <c r="B45" t="s">
        <v>17</v>
      </c>
      <c r="C45" t="s">
        <v>11</v>
      </c>
      <c r="D45" t="s">
        <v>8</v>
      </c>
      <c r="E45">
        <v>58</v>
      </c>
      <c r="F45">
        <f ca="1">RAND()</f>
        <v>0.57421618004104202</v>
      </c>
      <c r="J45" s="40">
        <v>1</v>
      </c>
      <c r="K45" s="42"/>
    </row>
    <row r="46" spans="1:12" ht="14.25" x14ac:dyDescent="0.2">
      <c r="A46" t="s">
        <v>403</v>
      </c>
      <c r="B46" t="s">
        <v>17</v>
      </c>
      <c r="C46" t="s">
        <v>28</v>
      </c>
      <c r="D46" t="s">
        <v>14</v>
      </c>
      <c r="E46">
        <v>56</v>
      </c>
      <c r="F46">
        <f ca="1">RAND()</f>
        <v>0.91551725767864744</v>
      </c>
      <c r="J46" s="43">
        <v>1</v>
      </c>
      <c r="K46" s="43">
        <v>0</v>
      </c>
    </row>
    <row r="47" spans="1:12" ht="14.25" x14ac:dyDescent="0.2">
      <c r="A47" t="s">
        <v>370</v>
      </c>
      <c r="B47" t="s">
        <v>17</v>
      </c>
      <c r="C47" t="s">
        <v>11</v>
      </c>
      <c r="D47" t="s">
        <v>8</v>
      </c>
      <c r="E47">
        <v>54</v>
      </c>
      <c r="F47">
        <f ca="1">RAND()</f>
        <v>0.1405625020390131</v>
      </c>
      <c r="J47" s="33" t="s">
        <v>517</v>
      </c>
      <c r="K47" s="33">
        <f>AVERAGE(L29:L38)</f>
        <v>49.1</v>
      </c>
    </row>
    <row r="48" spans="1:12" x14ac:dyDescent="0.2">
      <c r="A48" t="s">
        <v>324</v>
      </c>
      <c r="B48" t="s">
        <v>30</v>
      </c>
      <c r="C48" t="s">
        <v>28</v>
      </c>
      <c r="D48" t="s">
        <v>14</v>
      </c>
      <c r="E48">
        <v>66</v>
      </c>
      <c r="F48">
        <f ca="1">RAND()</f>
        <v>5.7441490276505469E-2</v>
      </c>
    </row>
    <row r="49" spans="1:6" x14ac:dyDescent="0.2">
      <c r="A49" t="s">
        <v>445</v>
      </c>
      <c r="B49" t="s">
        <v>13</v>
      </c>
      <c r="C49" t="s">
        <v>11</v>
      </c>
      <c r="D49" t="s">
        <v>8</v>
      </c>
      <c r="E49">
        <v>48</v>
      </c>
      <c r="F49">
        <f ca="1">RAND()</f>
        <v>0.58826450785942452</v>
      </c>
    </row>
    <row r="50" spans="1:6" x14ac:dyDescent="0.2">
      <c r="A50" t="s">
        <v>366</v>
      </c>
      <c r="B50" t="s">
        <v>17</v>
      </c>
      <c r="C50" t="s">
        <v>7</v>
      </c>
      <c r="D50" t="s">
        <v>14</v>
      </c>
      <c r="E50">
        <v>68</v>
      </c>
      <c r="F50">
        <f ca="1">RAND()</f>
        <v>0.84644052811428716</v>
      </c>
    </row>
    <row r="51" spans="1:6" x14ac:dyDescent="0.2">
      <c r="A51" t="s">
        <v>358</v>
      </c>
      <c r="B51" t="s">
        <v>64</v>
      </c>
      <c r="C51" t="s">
        <v>28</v>
      </c>
      <c r="D51" t="s">
        <v>14</v>
      </c>
      <c r="E51">
        <v>34</v>
      </c>
      <c r="F51">
        <f ca="1">RAND()</f>
        <v>8.1308459062139016E-2</v>
      </c>
    </row>
    <row r="52" spans="1:6" x14ac:dyDescent="0.2">
      <c r="A52" t="s">
        <v>404</v>
      </c>
      <c r="B52" t="s">
        <v>17</v>
      </c>
      <c r="C52" t="s">
        <v>28</v>
      </c>
      <c r="D52" t="s">
        <v>14</v>
      </c>
      <c r="E52">
        <v>60</v>
      </c>
      <c r="F52">
        <f ca="1">RAND()</f>
        <v>0.36887062293241279</v>
      </c>
    </row>
    <row r="53" spans="1:6" x14ac:dyDescent="0.2">
      <c r="A53" t="s">
        <v>436</v>
      </c>
      <c r="B53" t="s">
        <v>13</v>
      </c>
      <c r="C53" t="s">
        <v>11</v>
      </c>
      <c r="D53" t="s">
        <v>8</v>
      </c>
      <c r="E53">
        <v>63</v>
      </c>
      <c r="F53">
        <f ca="1">RAND()</f>
        <v>0.70285326270138893</v>
      </c>
    </row>
    <row r="54" spans="1:6" x14ac:dyDescent="0.2">
      <c r="A54" t="s">
        <v>472</v>
      </c>
      <c r="B54" t="s">
        <v>33</v>
      </c>
      <c r="C54" t="s">
        <v>11</v>
      </c>
      <c r="D54" t="s">
        <v>8</v>
      </c>
      <c r="E54">
        <v>43</v>
      </c>
      <c r="F54">
        <f ca="1">RAND()</f>
        <v>0.91358262059438522</v>
      </c>
    </row>
    <row r="55" spans="1:6" x14ac:dyDescent="0.2">
      <c r="A55" t="s">
        <v>412</v>
      </c>
      <c r="B55" t="s">
        <v>84</v>
      </c>
      <c r="C55" t="s">
        <v>7</v>
      </c>
      <c r="D55" t="s">
        <v>14</v>
      </c>
      <c r="E55">
        <v>53</v>
      </c>
      <c r="F55">
        <f ca="1">RAND()</f>
        <v>5.8482633257511463E-2</v>
      </c>
    </row>
    <row r="56" spans="1:6" x14ac:dyDescent="0.2">
      <c r="A56" t="s">
        <v>369</v>
      </c>
      <c r="B56" t="s">
        <v>17</v>
      </c>
      <c r="C56" t="s">
        <v>11</v>
      </c>
      <c r="D56" t="s">
        <v>14</v>
      </c>
      <c r="E56">
        <v>47</v>
      </c>
      <c r="F56">
        <f ca="1">RAND()</f>
        <v>0.46976615200401706</v>
      </c>
    </row>
    <row r="57" spans="1:6" x14ac:dyDescent="0.2">
      <c r="A57" t="s">
        <v>297</v>
      </c>
      <c r="B57" t="s">
        <v>57</v>
      </c>
      <c r="C57" t="s">
        <v>28</v>
      </c>
      <c r="D57" t="s">
        <v>14</v>
      </c>
      <c r="E57">
        <v>45</v>
      </c>
      <c r="F57">
        <f ca="1">RAND()</f>
        <v>0.56550325527914691</v>
      </c>
    </row>
    <row r="58" spans="1:6" x14ac:dyDescent="0.2">
      <c r="A58" t="s">
        <v>460</v>
      </c>
      <c r="B58" t="s">
        <v>66</v>
      </c>
      <c r="C58" t="s">
        <v>11</v>
      </c>
      <c r="D58" t="s">
        <v>14</v>
      </c>
      <c r="E58">
        <v>62</v>
      </c>
      <c r="F58">
        <f ca="1">RAND()</f>
        <v>0.36137637044751625</v>
      </c>
    </row>
    <row r="59" spans="1:6" x14ac:dyDescent="0.2">
      <c r="A59" t="s">
        <v>289</v>
      </c>
      <c r="B59" t="s">
        <v>6</v>
      </c>
      <c r="C59" t="s">
        <v>7</v>
      </c>
      <c r="D59" t="s">
        <v>8</v>
      </c>
      <c r="E59">
        <v>55</v>
      </c>
      <c r="F59">
        <f ca="1">RAND()</f>
        <v>0.46924384005817787</v>
      </c>
    </row>
    <row r="60" spans="1:6" x14ac:dyDescent="0.2">
      <c r="A60" t="s">
        <v>470</v>
      </c>
      <c r="B60" t="s">
        <v>33</v>
      </c>
      <c r="C60" t="s">
        <v>11</v>
      </c>
      <c r="D60" t="s">
        <v>8</v>
      </c>
      <c r="E60">
        <v>47</v>
      </c>
      <c r="F60">
        <f ca="1">RAND()</f>
        <v>0.6376082762423525</v>
      </c>
    </row>
    <row r="61" spans="1:6" x14ac:dyDescent="0.2">
      <c r="A61" t="s">
        <v>474</v>
      </c>
      <c r="B61" t="s">
        <v>33</v>
      </c>
      <c r="C61" t="s">
        <v>28</v>
      </c>
      <c r="D61" t="s">
        <v>8</v>
      </c>
      <c r="E61">
        <v>55</v>
      </c>
      <c r="F61">
        <f ca="1">RAND()</f>
        <v>0.82880260894217972</v>
      </c>
    </row>
    <row r="62" spans="1:6" x14ac:dyDescent="0.2">
      <c r="A62" t="s">
        <v>431</v>
      </c>
      <c r="B62" t="s">
        <v>13</v>
      </c>
      <c r="C62" t="s">
        <v>7</v>
      </c>
      <c r="D62" t="s">
        <v>8</v>
      </c>
      <c r="E62">
        <v>58</v>
      </c>
      <c r="F62">
        <f ca="1">RAND()</f>
        <v>0.37828788070701758</v>
      </c>
    </row>
    <row r="63" spans="1:6" x14ac:dyDescent="0.2">
      <c r="A63" t="s">
        <v>450</v>
      </c>
      <c r="B63" t="s">
        <v>13</v>
      </c>
      <c r="C63" t="s">
        <v>7</v>
      </c>
      <c r="D63" t="s">
        <v>14</v>
      </c>
      <c r="E63">
        <v>54</v>
      </c>
      <c r="F63">
        <f ca="1">RAND()</f>
        <v>6.4047397145879592E-2</v>
      </c>
    </row>
    <row r="64" spans="1:6" x14ac:dyDescent="0.2">
      <c r="A64" t="s">
        <v>279</v>
      </c>
      <c r="B64" t="s">
        <v>6</v>
      </c>
      <c r="C64" t="s">
        <v>7</v>
      </c>
      <c r="D64" t="s">
        <v>14</v>
      </c>
      <c r="E64">
        <v>52</v>
      </c>
      <c r="F64">
        <f ca="1">RAND()</f>
        <v>0.20866656901994474</v>
      </c>
    </row>
    <row r="65" spans="1:6" x14ac:dyDescent="0.2">
      <c r="A65" t="s">
        <v>487</v>
      </c>
      <c r="B65" t="s">
        <v>80</v>
      </c>
      <c r="C65" t="s">
        <v>11</v>
      </c>
      <c r="D65" t="s">
        <v>8</v>
      </c>
      <c r="E65">
        <v>58</v>
      </c>
      <c r="F65">
        <f ca="1">RAND()</f>
        <v>0.42179021324713073</v>
      </c>
    </row>
    <row r="66" spans="1:6" x14ac:dyDescent="0.2">
      <c r="A66" t="s">
        <v>307</v>
      </c>
      <c r="B66" t="s">
        <v>57</v>
      </c>
      <c r="C66" t="s">
        <v>28</v>
      </c>
      <c r="D66" t="s">
        <v>8</v>
      </c>
      <c r="E66">
        <v>62</v>
      </c>
      <c r="F66">
        <f ca="1">RAND()</f>
        <v>0.5091381562080558</v>
      </c>
    </row>
    <row r="67" spans="1:6" x14ac:dyDescent="0.2">
      <c r="A67" t="s">
        <v>305</v>
      </c>
      <c r="B67" t="s">
        <v>57</v>
      </c>
      <c r="C67" t="s">
        <v>11</v>
      </c>
      <c r="D67" t="s">
        <v>14</v>
      </c>
      <c r="E67">
        <v>67</v>
      </c>
      <c r="F67">
        <f ca="1">RAND()</f>
        <v>0.67078891335098556</v>
      </c>
    </row>
    <row r="68" spans="1:6" x14ac:dyDescent="0.2">
      <c r="A68" t="s">
        <v>365</v>
      </c>
      <c r="B68" t="s">
        <v>17</v>
      </c>
      <c r="C68" t="s">
        <v>38</v>
      </c>
      <c r="D68" t="s">
        <v>8</v>
      </c>
      <c r="E68">
        <v>49</v>
      </c>
      <c r="F68">
        <f ca="1">RAND()</f>
        <v>0.17437628868046307</v>
      </c>
    </row>
    <row r="69" spans="1:6" x14ac:dyDescent="0.2">
      <c r="A69" t="s">
        <v>319</v>
      </c>
      <c r="B69" t="s">
        <v>144</v>
      </c>
      <c r="C69" t="s">
        <v>28</v>
      </c>
      <c r="D69" t="s">
        <v>14</v>
      </c>
      <c r="E69">
        <v>54</v>
      </c>
      <c r="F69">
        <f ca="1">RAND()</f>
        <v>0.94988165531767232</v>
      </c>
    </row>
    <row r="70" spans="1:6" x14ac:dyDescent="0.2">
      <c r="A70" t="s">
        <v>335</v>
      </c>
      <c r="B70" t="s">
        <v>104</v>
      </c>
      <c r="C70" t="s">
        <v>28</v>
      </c>
      <c r="D70" t="s">
        <v>14</v>
      </c>
      <c r="E70">
        <v>53</v>
      </c>
      <c r="F70">
        <f ca="1">RAND()</f>
        <v>5.1054157132105593E-2</v>
      </c>
    </row>
    <row r="71" spans="1:6" x14ac:dyDescent="0.2">
      <c r="A71" t="s">
        <v>489</v>
      </c>
      <c r="B71" t="s">
        <v>22</v>
      </c>
      <c r="C71" t="s">
        <v>7</v>
      </c>
      <c r="D71" t="s">
        <v>8</v>
      </c>
      <c r="E71">
        <v>55</v>
      </c>
      <c r="F71">
        <f ca="1">RAND()</f>
        <v>0.56077765519212253</v>
      </c>
    </row>
    <row r="72" spans="1:6" x14ac:dyDescent="0.2">
      <c r="A72" t="s">
        <v>382</v>
      </c>
      <c r="B72" t="s">
        <v>17</v>
      </c>
      <c r="C72" t="s">
        <v>28</v>
      </c>
      <c r="D72" t="s">
        <v>14</v>
      </c>
      <c r="E72">
        <v>40</v>
      </c>
      <c r="F72">
        <f ca="1">RAND()</f>
        <v>0.39967668789524591</v>
      </c>
    </row>
    <row r="73" spans="1:6" x14ac:dyDescent="0.2">
      <c r="A73" t="s">
        <v>361</v>
      </c>
      <c r="B73" t="s">
        <v>17</v>
      </c>
      <c r="C73" t="s">
        <v>7</v>
      </c>
      <c r="D73" t="s">
        <v>14</v>
      </c>
      <c r="E73">
        <v>34</v>
      </c>
      <c r="F73">
        <f ca="1">RAND()</f>
        <v>0.4521131770562351</v>
      </c>
    </row>
    <row r="74" spans="1:6" x14ac:dyDescent="0.2">
      <c r="A74" t="s">
        <v>346</v>
      </c>
      <c r="B74" t="s">
        <v>155</v>
      </c>
      <c r="C74" t="s">
        <v>7</v>
      </c>
      <c r="D74" t="s">
        <v>14</v>
      </c>
      <c r="E74">
        <v>47</v>
      </c>
      <c r="F74">
        <f ca="1">RAND()</f>
        <v>0.84716385027565255</v>
      </c>
    </row>
    <row r="75" spans="1:6" x14ac:dyDescent="0.2">
      <c r="A75" t="s">
        <v>429</v>
      </c>
      <c r="B75" t="s">
        <v>13</v>
      </c>
      <c r="C75" t="s">
        <v>7</v>
      </c>
      <c r="D75" t="s">
        <v>14</v>
      </c>
      <c r="E75">
        <v>52</v>
      </c>
      <c r="F75">
        <f ca="1">RAND()</f>
        <v>0.34177507258575246</v>
      </c>
    </row>
    <row r="76" spans="1:6" x14ac:dyDescent="0.2">
      <c r="A76" t="s">
        <v>437</v>
      </c>
      <c r="B76" t="s">
        <v>13</v>
      </c>
      <c r="C76" t="s">
        <v>11</v>
      </c>
      <c r="D76" t="s">
        <v>14</v>
      </c>
      <c r="E76">
        <v>66</v>
      </c>
      <c r="F76">
        <f ca="1">RAND()</f>
        <v>2.4643771748714127E-2</v>
      </c>
    </row>
    <row r="77" spans="1:6" x14ac:dyDescent="0.2">
      <c r="A77" t="s">
        <v>344</v>
      </c>
      <c r="B77" t="s">
        <v>47</v>
      </c>
      <c r="C77" t="s">
        <v>28</v>
      </c>
      <c r="D77" t="s">
        <v>8</v>
      </c>
      <c r="E77">
        <v>52</v>
      </c>
      <c r="F77">
        <f ca="1">RAND()</f>
        <v>0.6958028942791683</v>
      </c>
    </row>
    <row r="78" spans="1:6" x14ac:dyDescent="0.2">
      <c r="A78" t="s">
        <v>283</v>
      </c>
      <c r="B78" t="s">
        <v>6</v>
      </c>
      <c r="C78" t="s">
        <v>7</v>
      </c>
      <c r="D78" t="s">
        <v>14</v>
      </c>
      <c r="E78">
        <v>60</v>
      </c>
      <c r="F78">
        <f ca="1">RAND()</f>
        <v>0.22839041145294592</v>
      </c>
    </row>
    <row r="79" spans="1:6" x14ac:dyDescent="0.2">
      <c r="A79" t="s">
        <v>414</v>
      </c>
      <c r="B79" t="s">
        <v>138</v>
      </c>
      <c r="C79" t="s">
        <v>28</v>
      </c>
      <c r="D79" t="s">
        <v>14</v>
      </c>
      <c r="E79">
        <v>62</v>
      </c>
      <c r="F79">
        <f ca="1">RAND()</f>
        <v>0.27821684517812506</v>
      </c>
    </row>
    <row r="80" spans="1:6" x14ac:dyDescent="0.2">
      <c r="A80" t="s">
        <v>355</v>
      </c>
      <c r="B80" t="s">
        <v>64</v>
      </c>
      <c r="C80" t="s">
        <v>7</v>
      </c>
      <c r="D80" t="s">
        <v>14</v>
      </c>
      <c r="E80">
        <v>52</v>
      </c>
      <c r="F80">
        <f ca="1">RAND()</f>
        <v>1.1141328511487525E-2</v>
      </c>
    </row>
    <row r="81" spans="1:6" x14ac:dyDescent="0.2">
      <c r="A81" t="s">
        <v>483</v>
      </c>
      <c r="B81" t="s">
        <v>80</v>
      </c>
      <c r="C81" t="s">
        <v>28</v>
      </c>
      <c r="D81" t="s">
        <v>14</v>
      </c>
      <c r="E81">
        <v>68</v>
      </c>
      <c r="F81">
        <f ca="1">RAND()</f>
        <v>0.94895611491452214</v>
      </c>
    </row>
    <row r="82" spans="1:6" x14ac:dyDescent="0.2">
      <c r="A82" t="s">
        <v>455</v>
      </c>
      <c r="B82" t="s">
        <v>66</v>
      </c>
      <c r="C82" t="s">
        <v>28</v>
      </c>
      <c r="D82" t="s">
        <v>8</v>
      </c>
      <c r="E82">
        <v>62</v>
      </c>
      <c r="F82">
        <f ca="1">RAND()</f>
        <v>0.13207485160293331</v>
      </c>
    </row>
    <row r="83" spans="1:6" x14ac:dyDescent="0.2">
      <c r="A83" t="s">
        <v>333</v>
      </c>
      <c r="B83" t="s">
        <v>55</v>
      </c>
      <c r="C83" t="s">
        <v>28</v>
      </c>
      <c r="D83" t="s">
        <v>14</v>
      </c>
      <c r="E83">
        <v>31</v>
      </c>
      <c r="F83">
        <f ca="1">RAND()</f>
        <v>0.94069435274879587</v>
      </c>
    </row>
    <row r="84" spans="1:6" x14ac:dyDescent="0.2">
      <c r="A84" t="s">
        <v>314</v>
      </c>
      <c r="B84" t="s">
        <v>57</v>
      </c>
      <c r="C84" t="s">
        <v>7</v>
      </c>
      <c r="D84" t="s">
        <v>8</v>
      </c>
      <c r="E84">
        <v>46</v>
      </c>
      <c r="F84">
        <f ca="1">RAND()</f>
        <v>0.43312929532817446</v>
      </c>
    </row>
    <row r="85" spans="1:6" x14ac:dyDescent="0.2">
      <c r="A85" t="s">
        <v>299</v>
      </c>
      <c r="B85" t="s">
        <v>57</v>
      </c>
      <c r="C85" t="s">
        <v>7</v>
      </c>
      <c r="D85" t="s">
        <v>14</v>
      </c>
      <c r="E85">
        <v>64</v>
      </c>
      <c r="F85">
        <f ca="1">RAND()</f>
        <v>0.89626625977700558</v>
      </c>
    </row>
    <row r="86" spans="1:6" x14ac:dyDescent="0.2">
      <c r="A86" t="s">
        <v>497</v>
      </c>
      <c r="B86" t="s">
        <v>45</v>
      </c>
      <c r="C86" t="s">
        <v>11</v>
      </c>
      <c r="D86" t="s">
        <v>8</v>
      </c>
      <c r="E86">
        <v>61</v>
      </c>
      <c r="F86">
        <f ca="1">RAND()</f>
        <v>0.84869793478814948</v>
      </c>
    </row>
    <row r="87" spans="1:6" x14ac:dyDescent="0.2">
      <c r="A87" t="s">
        <v>482</v>
      </c>
      <c r="B87" t="s">
        <v>33</v>
      </c>
      <c r="C87" t="s">
        <v>7</v>
      </c>
      <c r="D87" t="s">
        <v>8</v>
      </c>
      <c r="E87">
        <v>50</v>
      </c>
      <c r="F87">
        <f ca="1">RAND()</f>
        <v>0.2235684624402775</v>
      </c>
    </row>
    <row r="88" spans="1:6" x14ac:dyDescent="0.2">
      <c r="A88" t="s">
        <v>458</v>
      </c>
      <c r="B88" t="s">
        <v>66</v>
      </c>
      <c r="C88" t="s">
        <v>7</v>
      </c>
      <c r="D88" t="s">
        <v>8</v>
      </c>
      <c r="E88">
        <v>60</v>
      </c>
      <c r="F88">
        <f ca="1">RAND()</f>
        <v>0.82736621259454801</v>
      </c>
    </row>
    <row r="89" spans="1:6" x14ac:dyDescent="0.2">
      <c r="A89" t="s">
        <v>302</v>
      </c>
      <c r="B89" t="s">
        <v>57</v>
      </c>
      <c r="C89" t="s">
        <v>7</v>
      </c>
      <c r="D89" t="s">
        <v>14</v>
      </c>
      <c r="E89">
        <v>43</v>
      </c>
      <c r="F89">
        <f ca="1">RAND()</f>
        <v>0.35090100532728319</v>
      </c>
    </row>
    <row r="90" spans="1:6" x14ac:dyDescent="0.2">
      <c r="A90" t="s">
        <v>330</v>
      </c>
      <c r="B90" t="s">
        <v>30</v>
      </c>
      <c r="C90" t="s">
        <v>11</v>
      </c>
      <c r="D90" t="s">
        <v>14</v>
      </c>
      <c r="E90">
        <v>52</v>
      </c>
      <c r="F90">
        <f ca="1">RAND()</f>
        <v>0.48728529270358001</v>
      </c>
    </row>
    <row r="91" spans="1:6" x14ac:dyDescent="0.2">
      <c r="A91" t="s">
        <v>413</v>
      </c>
      <c r="B91" t="s">
        <v>84</v>
      </c>
      <c r="C91" t="s">
        <v>7</v>
      </c>
      <c r="D91" t="s">
        <v>8</v>
      </c>
      <c r="E91">
        <v>47</v>
      </c>
      <c r="F91">
        <f ca="1">RAND()</f>
        <v>0.18017227324539387</v>
      </c>
    </row>
    <row r="92" spans="1:6" x14ac:dyDescent="0.2">
      <c r="A92" t="s">
        <v>326</v>
      </c>
      <c r="B92" t="s">
        <v>30</v>
      </c>
      <c r="C92" t="s">
        <v>7</v>
      </c>
      <c r="D92" t="s">
        <v>14</v>
      </c>
      <c r="E92">
        <v>63</v>
      </c>
      <c r="F92">
        <f ca="1">RAND()</f>
        <v>0.6407965060980203</v>
      </c>
    </row>
    <row r="93" spans="1:6" x14ac:dyDescent="0.2">
      <c r="A93" t="s">
        <v>379</v>
      </c>
      <c r="B93" t="s">
        <v>17</v>
      </c>
      <c r="C93" t="s">
        <v>95</v>
      </c>
      <c r="D93" t="s">
        <v>8</v>
      </c>
      <c r="E93">
        <v>44</v>
      </c>
      <c r="F93">
        <f ca="1">RAND()</f>
        <v>0.27732792934266759</v>
      </c>
    </row>
    <row r="94" spans="1:6" x14ac:dyDescent="0.2">
      <c r="A94" t="s">
        <v>418</v>
      </c>
      <c r="B94" t="s">
        <v>13</v>
      </c>
      <c r="C94" t="s">
        <v>19</v>
      </c>
      <c r="D94" t="s">
        <v>14</v>
      </c>
      <c r="E94">
        <v>64</v>
      </c>
      <c r="F94">
        <f ca="1">RAND()</f>
        <v>0.42909180549851478</v>
      </c>
    </row>
    <row r="95" spans="1:6" x14ac:dyDescent="0.2">
      <c r="A95" t="s">
        <v>298</v>
      </c>
      <c r="B95" t="s">
        <v>57</v>
      </c>
      <c r="C95" t="s">
        <v>7</v>
      </c>
      <c r="D95" t="s">
        <v>14</v>
      </c>
      <c r="E95">
        <v>41</v>
      </c>
      <c r="F95">
        <f ca="1">RAND()</f>
        <v>0.84827323658973874</v>
      </c>
    </row>
    <row r="96" spans="1:6" x14ac:dyDescent="0.2">
      <c r="A96" t="s">
        <v>141</v>
      </c>
      <c r="B96" t="s">
        <v>13</v>
      </c>
      <c r="C96" t="s">
        <v>142</v>
      </c>
      <c r="D96" t="s">
        <v>14</v>
      </c>
      <c r="E96">
        <v>42</v>
      </c>
      <c r="F96">
        <f ca="1">RAND()</f>
        <v>0.38357127929881529</v>
      </c>
    </row>
    <row r="97" spans="1:6" x14ac:dyDescent="0.2">
      <c r="A97" t="s">
        <v>428</v>
      </c>
      <c r="B97" t="s">
        <v>13</v>
      </c>
      <c r="C97" t="s">
        <v>95</v>
      </c>
      <c r="D97" t="s">
        <v>8</v>
      </c>
      <c r="E97">
        <v>55</v>
      </c>
      <c r="F97">
        <f ca="1">RAND()</f>
        <v>6.8974723619536604E-2</v>
      </c>
    </row>
    <row r="98" spans="1:6" x14ac:dyDescent="0.2">
      <c r="A98" t="s">
        <v>342</v>
      </c>
      <c r="B98" t="s">
        <v>47</v>
      </c>
      <c r="C98" t="s">
        <v>28</v>
      </c>
      <c r="D98" t="s">
        <v>14</v>
      </c>
      <c r="E98">
        <v>46</v>
      </c>
      <c r="F98">
        <f ca="1">RAND()</f>
        <v>0.48075488695764945</v>
      </c>
    </row>
    <row r="99" spans="1:6" x14ac:dyDescent="0.2">
      <c r="A99" t="s">
        <v>396</v>
      </c>
      <c r="B99" t="s">
        <v>17</v>
      </c>
      <c r="C99" t="s">
        <v>28</v>
      </c>
      <c r="D99" t="s">
        <v>14</v>
      </c>
      <c r="E99">
        <v>54</v>
      </c>
      <c r="F99">
        <f ca="1">RAND()</f>
        <v>0.4355904989201399</v>
      </c>
    </row>
    <row r="100" spans="1:6" x14ac:dyDescent="0.2">
      <c r="A100" t="s">
        <v>318</v>
      </c>
      <c r="B100" t="s">
        <v>116</v>
      </c>
      <c r="C100" t="s">
        <v>7</v>
      </c>
      <c r="D100" t="s">
        <v>14</v>
      </c>
      <c r="E100">
        <v>32</v>
      </c>
      <c r="F100">
        <f ca="1">RAND()</f>
        <v>2.0804179381089916E-2</v>
      </c>
    </row>
    <row r="101" spans="1:6" x14ac:dyDescent="0.2">
      <c r="A101" t="s">
        <v>461</v>
      </c>
      <c r="B101" t="s">
        <v>66</v>
      </c>
      <c r="C101" t="s">
        <v>28</v>
      </c>
      <c r="D101" t="s">
        <v>14</v>
      </c>
      <c r="E101">
        <v>39</v>
      </c>
      <c r="F101">
        <f ca="1">RAND()</f>
        <v>0.81324833738340319</v>
      </c>
    </row>
    <row r="102" spans="1:6" x14ac:dyDescent="0.2">
      <c r="A102" t="s">
        <v>313</v>
      </c>
      <c r="B102" t="s">
        <v>57</v>
      </c>
      <c r="C102" t="s">
        <v>7</v>
      </c>
      <c r="D102" t="s">
        <v>8</v>
      </c>
      <c r="E102">
        <v>54</v>
      </c>
      <c r="F102">
        <f ca="1">RAND()</f>
        <v>0.44111179985058691</v>
      </c>
    </row>
    <row r="103" spans="1:6" x14ac:dyDescent="0.2">
      <c r="A103" t="s">
        <v>481</v>
      </c>
      <c r="B103" t="s">
        <v>33</v>
      </c>
      <c r="C103" t="s">
        <v>7</v>
      </c>
      <c r="D103" t="s">
        <v>8</v>
      </c>
      <c r="E103">
        <v>52</v>
      </c>
      <c r="F103">
        <f ca="1">RAND()</f>
        <v>0.47815226978166647</v>
      </c>
    </row>
    <row r="104" spans="1:6" x14ac:dyDescent="0.2">
      <c r="A104" t="s">
        <v>372</v>
      </c>
      <c r="B104" t="s">
        <v>17</v>
      </c>
      <c r="C104" t="s">
        <v>11</v>
      </c>
      <c r="D104" t="s">
        <v>8</v>
      </c>
      <c r="E104">
        <v>38</v>
      </c>
      <c r="F104">
        <f ca="1">RAND()</f>
        <v>0.39627947706786082</v>
      </c>
    </row>
    <row r="105" spans="1:6" x14ac:dyDescent="0.2">
      <c r="A105" t="s">
        <v>316</v>
      </c>
      <c r="B105" t="s">
        <v>116</v>
      </c>
      <c r="C105" t="s">
        <v>7</v>
      </c>
      <c r="D105" t="s">
        <v>14</v>
      </c>
      <c r="E105">
        <v>59</v>
      </c>
      <c r="F105">
        <f ca="1">RAND()</f>
        <v>2.9966595933823226E-2</v>
      </c>
    </row>
    <row r="106" spans="1:6" x14ac:dyDescent="0.2">
      <c r="A106" t="s">
        <v>276</v>
      </c>
      <c r="B106" t="s">
        <v>27</v>
      </c>
      <c r="C106" t="s">
        <v>7</v>
      </c>
      <c r="D106" t="s">
        <v>14</v>
      </c>
      <c r="E106">
        <v>67</v>
      </c>
      <c r="F106">
        <f ca="1">RAND()</f>
        <v>0.92471872954492207</v>
      </c>
    </row>
    <row r="107" spans="1:6" x14ac:dyDescent="0.2">
      <c r="A107" t="s">
        <v>453</v>
      </c>
      <c r="B107" t="s">
        <v>13</v>
      </c>
      <c r="C107" t="s">
        <v>28</v>
      </c>
      <c r="D107" t="s">
        <v>8</v>
      </c>
      <c r="E107">
        <v>49</v>
      </c>
      <c r="F107">
        <f ca="1">RAND()</f>
        <v>0.30045756486163555</v>
      </c>
    </row>
    <row r="108" spans="1:6" x14ac:dyDescent="0.2">
      <c r="A108" t="s">
        <v>425</v>
      </c>
      <c r="B108" t="s">
        <v>13</v>
      </c>
      <c r="C108" t="s">
        <v>11</v>
      </c>
      <c r="D108" t="s">
        <v>8</v>
      </c>
      <c r="E108">
        <v>49</v>
      </c>
      <c r="F108">
        <f ca="1">RAND()</f>
        <v>0.37545064394810035</v>
      </c>
    </row>
    <row r="109" spans="1:6" x14ac:dyDescent="0.2">
      <c r="A109" t="s">
        <v>337</v>
      </c>
      <c r="B109" t="s">
        <v>47</v>
      </c>
      <c r="C109" t="s">
        <v>7</v>
      </c>
      <c r="D109" t="s">
        <v>8</v>
      </c>
      <c r="E109">
        <v>34</v>
      </c>
      <c r="F109">
        <f ca="1">RAND()</f>
        <v>0.79601655724873854</v>
      </c>
    </row>
    <row r="110" spans="1:6" x14ac:dyDescent="0.2">
      <c r="A110" t="s">
        <v>285</v>
      </c>
      <c r="B110" t="s">
        <v>6</v>
      </c>
      <c r="C110" t="s">
        <v>11</v>
      </c>
      <c r="D110" t="s">
        <v>14</v>
      </c>
      <c r="E110">
        <v>44</v>
      </c>
      <c r="F110">
        <f ca="1">RAND()</f>
        <v>0.33538289711184921</v>
      </c>
    </row>
    <row r="111" spans="1:6" x14ac:dyDescent="0.2">
      <c r="A111" t="s">
        <v>496</v>
      </c>
      <c r="B111" t="s">
        <v>45</v>
      </c>
      <c r="C111" t="s">
        <v>7</v>
      </c>
      <c r="D111" t="s">
        <v>14</v>
      </c>
      <c r="E111">
        <v>49</v>
      </c>
      <c r="F111">
        <f ca="1">RAND()</f>
        <v>0.68646430749096465</v>
      </c>
    </row>
    <row r="112" spans="1:6" x14ac:dyDescent="0.2">
      <c r="A112" t="s">
        <v>494</v>
      </c>
      <c r="B112" t="s">
        <v>45</v>
      </c>
      <c r="C112" t="s">
        <v>28</v>
      </c>
      <c r="D112" t="s">
        <v>14</v>
      </c>
      <c r="E112">
        <v>43</v>
      </c>
      <c r="F112">
        <f ca="1">RAND()</f>
        <v>0.7715981217857969</v>
      </c>
    </row>
    <row r="113" spans="1:6" x14ac:dyDescent="0.2">
      <c r="A113" t="s">
        <v>473</v>
      </c>
      <c r="B113" t="s">
        <v>33</v>
      </c>
      <c r="C113" t="s">
        <v>28</v>
      </c>
      <c r="D113" t="s">
        <v>14</v>
      </c>
      <c r="E113">
        <v>68</v>
      </c>
      <c r="F113">
        <f ca="1">RAND()</f>
        <v>0.8585436574964399</v>
      </c>
    </row>
    <row r="114" spans="1:6" x14ac:dyDescent="0.2">
      <c r="A114" t="s">
        <v>352</v>
      </c>
      <c r="B114" t="s">
        <v>64</v>
      </c>
      <c r="C114" t="s">
        <v>7</v>
      </c>
      <c r="D114" t="s">
        <v>8</v>
      </c>
      <c r="E114">
        <v>53</v>
      </c>
      <c r="F114">
        <f ca="1">RAND()</f>
        <v>0.79071350385847849</v>
      </c>
    </row>
    <row r="115" spans="1:6" x14ac:dyDescent="0.2">
      <c r="A115" t="s">
        <v>394</v>
      </c>
      <c r="B115" t="s">
        <v>17</v>
      </c>
      <c r="C115" t="s">
        <v>142</v>
      </c>
      <c r="D115" t="s">
        <v>14</v>
      </c>
      <c r="E115">
        <v>58</v>
      </c>
      <c r="F115">
        <f ca="1">RAND()</f>
        <v>0.74992517004204462</v>
      </c>
    </row>
    <row r="116" spans="1:6" x14ac:dyDescent="0.2">
      <c r="A116" t="s">
        <v>492</v>
      </c>
      <c r="B116" t="s">
        <v>22</v>
      </c>
      <c r="C116" t="s">
        <v>11</v>
      </c>
      <c r="D116" t="s">
        <v>14</v>
      </c>
      <c r="E116">
        <v>57</v>
      </c>
      <c r="F116">
        <f ca="1">RAND()</f>
        <v>0.55177183363634019</v>
      </c>
    </row>
    <row r="117" spans="1:6" x14ac:dyDescent="0.2">
      <c r="A117" t="s">
        <v>422</v>
      </c>
      <c r="B117" t="s">
        <v>13</v>
      </c>
      <c r="C117" t="s">
        <v>7</v>
      </c>
      <c r="D117" t="s">
        <v>8</v>
      </c>
      <c r="E117">
        <v>46</v>
      </c>
      <c r="F117">
        <f ca="1">RAND()</f>
        <v>0.64695292286495021</v>
      </c>
    </row>
    <row r="118" spans="1:6" x14ac:dyDescent="0.2">
      <c r="A118" t="s">
        <v>308</v>
      </c>
      <c r="B118" t="s">
        <v>57</v>
      </c>
      <c r="C118" t="s">
        <v>11</v>
      </c>
      <c r="D118" t="s">
        <v>14</v>
      </c>
      <c r="E118">
        <v>50</v>
      </c>
      <c r="F118">
        <f ca="1">RAND()</f>
        <v>0.11131967945454491</v>
      </c>
    </row>
    <row r="119" spans="1:6" x14ac:dyDescent="0.2">
      <c r="A119" t="s">
        <v>465</v>
      </c>
      <c r="B119" t="s">
        <v>33</v>
      </c>
      <c r="C119" t="s">
        <v>11</v>
      </c>
      <c r="D119" t="s">
        <v>14</v>
      </c>
      <c r="E119">
        <v>50</v>
      </c>
      <c r="F119">
        <f ca="1">RAND()</f>
        <v>0.61481393205967616</v>
      </c>
    </row>
    <row r="120" spans="1:6" x14ac:dyDescent="0.2">
      <c r="A120" t="s">
        <v>432</v>
      </c>
      <c r="B120" t="s">
        <v>13</v>
      </c>
      <c r="C120" t="s">
        <v>7</v>
      </c>
      <c r="D120" t="s">
        <v>14</v>
      </c>
      <c r="E120">
        <v>55</v>
      </c>
      <c r="F120">
        <f ca="1">RAND()</f>
        <v>0.90910133788604219</v>
      </c>
    </row>
    <row r="121" spans="1:6" x14ac:dyDescent="0.2">
      <c r="A121" t="s">
        <v>368</v>
      </c>
      <c r="B121" t="s">
        <v>17</v>
      </c>
      <c r="C121" t="s">
        <v>7</v>
      </c>
      <c r="D121" t="s">
        <v>14</v>
      </c>
      <c r="E121">
        <v>46</v>
      </c>
      <c r="F121">
        <f ca="1">RAND()</f>
        <v>0.54566066960294735</v>
      </c>
    </row>
    <row r="122" spans="1:6" x14ac:dyDescent="0.2">
      <c r="A122" t="s">
        <v>384</v>
      </c>
      <c r="B122" t="s">
        <v>17</v>
      </c>
      <c r="C122" t="s">
        <v>7</v>
      </c>
      <c r="D122" t="s">
        <v>14</v>
      </c>
      <c r="E122">
        <v>23</v>
      </c>
      <c r="F122">
        <f ca="1">RAND()</f>
        <v>0.68733532744197889</v>
      </c>
    </row>
    <row r="123" spans="1:6" x14ac:dyDescent="0.2">
      <c r="A123" t="s">
        <v>282</v>
      </c>
      <c r="B123" t="s">
        <v>6</v>
      </c>
      <c r="C123" t="s">
        <v>11</v>
      </c>
      <c r="D123" t="s">
        <v>14</v>
      </c>
      <c r="E123">
        <v>58</v>
      </c>
      <c r="F123">
        <f ca="1">RAND()</f>
        <v>0.62858994926848122</v>
      </c>
    </row>
    <row r="124" spans="1:6" x14ac:dyDescent="0.2">
      <c r="A124" t="s">
        <v>444</v>
      </c>
      <c r="B124" t="s">
        <v>13</v>
      </c>
      <c r="C124" t="s">
        <v>7</v>
      </c>
      <c r="D124" t="s">
        <v>8</v>
      </c>
      <c r="E124">
        <v>51</v>
      </c>
      <c r="F124">
        <f ca="1">RAND()</f>
        <v>0.38738600266222623</v>
      </c>
    </row>
    <row r="125" spans="1:6" x14ac:dyDescent="0.2">
      <c r="A125" t="s">
        <v>477</v>
      </c>
      <c r="B125" t="s">
        <v>33</v>
      </c>
      <c r="C125" t="s">
        <v>95</v>
      </c>
      <c r="D125" t="s">
        <v>14</v>
      </c>
      <c r="E125">
        <v>59</v>
      </c>
      <c r="F125">
        <f ca="1">RAND()</f>
        <v>0.19611484454067418</v>
      </c>
    </row>
    <row r="126" spans="1:6" x14ac:dyDescent="0.2">
      <c r="A126" t="s">
        <v>292</v>
      </c>
      <c r="B126" t="s">
        <v>6</v>
      </c>
      <c r="C126" t="s">
        <v>28</v>
      </c>
      <c r="D126" t="s">
        <v>14</v>
      </c>
      <c r="E126">
        <v>49</v>
      </c>
      <c r="F126">
        <f ca="1">RAND()</f>
        <v>0.14658459376612432</v>
      </c>
    </row>
    <row r="127" spans="1:6" x14ac:dyDescent="0.2">
      <c r="A127" t="s">
        <v>327</v>
      </c>
      <c r="B127" t="s">
        <v>30</v>
      </c>
      <c r="C127" t="s">
        <v>7</v>
      </c>
      <c r="D127" t="s">
        <v>14</v>
      </c>
      <c r="E127">
        <v>64</v>
      </c>
      <c r="F127">
        <f ca="1">RAND()</f>
        <v>5.4805837801298107E-2</v>
      </c>
    </row>
    <row r="128" spans="1:6" x14ac:dyDescent="0.2">
      <c r="A128" t="s">
        <v>281</v>
      </c>
      <c r="B128" t="s">
        <v>6</v>
      </c>
      <c r="C128" t="s">
        <v>7</v>
      </c>
      <c r="D128" t="s">
        <v>8</v>
      </c>
      <c r="E128">
        <v>29</v>
      </c>
      <c r="F128">
        <f ca="1">RAND()</f>
        <v>0.21753475445483972</v>
      </c>
    </row>
    <row r="129" spans="1:6" x14ac:dyDescent="0.2">
      <c r="A129" t="s">
        <v>471</v>
      </c>
      <c r="B129" t="s">
        <v>33</v>
      </c>
      <c r="C129" t="s">
        <v>38</v>
      </c>
      <c r="D129" t="s">
        <v>8</v>
      </c>
      <c r="E129">
        <v>42</v>
      </c>
      <c r="F129">
        <f ca="1">RAND()</f>
        <v>0.1486302820926455</v>
      </c>
    </row>
    <row r="130" spans="1:6" x14ac:dyDescent="0.2">
      <c r="A130" t="s">
        <v>411</v>
      </c>
      <c r="B130" t="s">
        <v>84</v>
      </c>
      <c r="C130" t="s">
        <v>7</v>
      </c>
      <c r="D130" t="s">
        <v>14</v>
      </c>
      <c r="E130">
        <v>53</v>
      </c>
      <c r="F130">
        <f ca="1">RAND()</f>
        <v>0.85963747895680254</v>
      </c>
    </row>
    <row r="131" spans="1:6" x14ac:dyDescent="0.2">
      <c r="A131" t="s">
        <v>92</v>
      </c>
      <c r="B131" t="s">
        <v>17</v>
      </c>
      <c r="C131" t="s">
        <v>28</v>
      </c>
      <c r="D131" t="s">
        <v>8</v>
      </c>
      <c r="E131">
        <v>61</v>
      </c>
      <c r="F131">
        <f ca="1">RAND()</f>
        <v>0.2826576692615701</v>
      </c>
    </row>
    <row r="132" spans="1:6" x14ac:dyDescent="0.2">
      <c r="A132" t="s">
        <v>312</v>
      </c>
      <c r="B132" t="s">
        <v>57</v>
      </c>
      <c r="C132" t="s">
        <v>11</v>
      </c>
      <c r="D132" t="s">
        <v>8</v>
      </c>
      <c r="E132">
        <v>59</v>
      </c>
      <c r="F132">
        <f ca="1">RAND()</f>
        <v>0.92643603609476965</v>
      </c>
    </row>
    <row r="133" spans="1:6" x14ac:dyDescent="0.2">
      <c r="A133" t="s">
        <v>371</v>
      </c>
      <c r="B133" t="s">
        <v>17</v>
      </c>
      <c r="C133" t="s">
        <v>7</v>
      </c>
      <c r="D133" t="s">
        <v>8</v>
      </c>
      <c r="E133">
        <v>77</v>
      </c>
      <c r="F133">
        <f ca="1">RAND()</f>
        <v>0.6005345718397207</v>
      </c>
    </row>
    <row r="134" spans="1:6" x14ac:dyDescent="0.2">
      <c r="A134" t="s">
        <v>375</v>
      </c>
      <c r="B134" t="s">
        <v>17</v>
      </c>
      <c r="C134" t="s">
        <v>11</v>
      </c>
      <c r="D134" t="s">
        <v>14</v>
      </c>
      <c r="E134">
        <v>40</v>
      </c>
      <c r="F134">
        <f ca="1">RAND()</f>
        <v>0.17885766491880561</v>
      </c>
    </row>
    <row r="135" spans="1:6" x14ac:dyDescent="0.2">
      <c r="A135" t="s">
        <v>349</v>
      </c>
      <c r="B135" t="s">
        <v>10</v>
      </c>
      <c r="C135" t="s">
        <v>7</v>
      </c>
      <c r="D135" t="s">
        <v>8</v>
      </c>
      <c r="E135">
        <v>46</v>
      </c>
      <c r="F135">
        <f ca="1">RAND()</f>
        <v>0.38774238033416375</v>
      </c>
    </row>
    <row r="136" spans="1:6" x14ac:dyDescent="0.2">
      <c r="A136" t="s">
        <v>490</v>
      </c>
      <c r="B136" t="s">
        <v>22</v>
      </c>
      <c r="C136" t="s">
        <v>7</v>
      </c>
      <c r="D136" t="s">
        <v>14</v>
      </c>
      <c r="E136">
        <v>57</v>
      </c>
      <c r="F136">
        <f ca="1">RAND()</f>
        <v>0.33205465910746379</v>
      </c>
    </row>
    <row r="137" spans="1:6" x14ac:dyDescent="0.2">
      <c r="A137" t="s">
        <v>306</v>
      </c>
      <c r="B137" t="s">
        <v>57</v>
      </c>
      <c r="C137" t="s">
        <v>7</v>
      </c>
      <c r="D137" t="s">
        <v>14</v>
      </c>
      <c r="E137">
        <v>50</v>
      </c>
      <c r="F137">
        <f ca="1">RAND()</f>
        <v>0.3927814951724653</v>
      </c>
    </row>
    <row r="138" spans="1:6" x14ac:dyDescent="0.2">
      <c r="A138" t="s">
        <v>321</v>
      </c>
      <c r="B138" t="s">
        <v>144</v>
      </c>
      <c r="C138" t="s">
        <v>11</v>
      </c>
      <c r="D138" t="s">
        <v>14</v>
      </c>
      <c r="E138">
        <v>31</v>
      </c>
      <c r="F138">
        <f ca="1">RAND()</f>
        <v>0.41373518697964817</v>
      </c>
    </row>
    <row r="139" spans="1:6" x14ac:dyDescent="0.2">
      <c r="A139" t="s">
        <v>427</v>
      </c>
      <c r="B139" t="s">
        <v>13</v>
      </c>
      <c r="C139" t="s">
        <v>11</v>
      </c>
      <c r="D139" t="s">
        <v>14</v>
      </c>
      <c r="E139">
        <v>52</v>
      </c>
      <c r="F139">
        <f ca="1">RAND()</f>
        <v>0.89136424925789726</v>
      </c>
    </row>
    <row r="140" spans="1:6" x14ac:dyDescent="0.2">
      <c r="A140" t="s">
        <v>353</v>
      </c>
      <c r="B140" t="s">
        <v>64</v>
      </c>
      <c r="C140" t="s">
        <v>28</v>
      </c>
      <c r="D140" t="s">
        <v>8</v>
      </c>
      <c r="E140">
        <v>63</v>
      </c>
      <c r="F140">
        <f ca="1">RAND()</f>
        <v>0.28221833883330605</v>
      </c>
    </row>
    <row r="141" spans="1:6" x14ac:dyDescent="0.2">
      <c r="A141" t="s">
        <v>303</v>
      </c>
      <c r="B141" t="s">
        <v>57</v>
      </c>
      <c r="C141" t="s">
        <v>11</v>
      </c>
      <c r="D141" t="s">
        <v>8</v>
      </c>
      <c r="E141">
        <v>54</v>
      </c>
      <c r="F141">
        <f ca="1">RAND()</f>
        <v>0.4838078198168001</v>
      </c>
    </row>
    <row r="142" spans="1:6" x14ac:dyDescent="0.2">
      <c r="A142" t="s">
        <v>423</v>
      </c>
      <c r="B142" t="s">
        <v>13</v>
      </c>
      <c r="C142" t="s">
        <v>38</v>
      </c>
      <c r="D142" t="s">
        <v>14</v>
      </c>
      <c r="E142">
        <v>43</v>
      </c>
      <c r="F142">
        <f ca="1">RAND()</f>
        <v>0.65742604567519825</v>
      </c>
    </row>
    <row r="143" spans="1:6" x14ac:dyDescent="0.2">
      <c r="A143" t="s">
        <v>500</v>
      </c>
      <c r="B143" t="s">
        <v>45</v>
      </c>
      <c r="C143" t="s">
        <v>7</v>
      </c>
      <c r="D143" t="s">
        <v>14</v>
      </c>
      <c r="E143">
        <v>36</v>
      </c>
      <c r="F143">
        <f ca="1">RAND()</f>
        <v>1.2222646534374326E-2</v>
      </c>
    </row>
    <row r="144" spans="1:6" x14ac:dyDescent="0.2">
      <c r="A144" t="s">
        <v>462</v>
      </c>
      <c r="B144" t="s">
        <v>66</v>
      </c>
      <c r="C144" t="s">
        <v>7</v>
      </c>
      <c r="D144" t="s">
        <v>14</v>
      </c>
      <c r="E144">
        <v>66</v>
      </c>
      <c r="F144">
        <f ca="1">RAND()</f>
        <v>0.6403071764632059</v>
      </c>
    </row>
    <row r="145" spans="1:6" x14ac:dyDescent="0.2">
      <c r="A145" t="s">
        <v>354</v>
      </c>
      <c r="B145" t="s">
        <v>64</v>
      </c>
      <c r="C145" t="s">
        <v>11</v>
      </c>
      <c r="D145" t="s">
        <v>14</v>
      </c>
      <c r="E145">
        <v>27</v>
      </c>
      <c r="F145">
        <f ca="1">RAND()</f>
        <v>0.58191123707426295</v>
      </c>
    </row>
    <row r="146" spans="1:6" x14ac:dyDescent="0.2">
      <c r="A146" t="s">
        <v>363</v>
      </c>
      <c r="B146" t="s">
        <v>17</v>
      </c>
      <c r="C146" t="s">
        <v>11</v>
      </c>
      <c r="D146" t="s">
        <v>14</v>
      </c>
      <c r="E146">
        <v>42</v>
      </c>
      <c r="F146">
        <f ca="1">RAND()</f>
        <v>0.73548823230518356</v>
      </c>
    </row>
    <row r="147" spans="1:6" x14ac:dyDescent="0.2">
      <c r="A147" t="s">
        <v>451</v>
      </c>
      <c r="B147" t="s">
        <v>13</v>
      </c>
      <c r="C147" t="s">
        <v>11</v>
      </c>
      <c r="D147" t="s">
        <v>8</v>
      </c>
      <c r="E147">
        <v>53</v>
      </c>
      <c r="F147">
        <f ca="1">RAND()</f>
        <v>0.47371975481064954</v>
      </c>
    </row>
    <row r="148" spans="1:6" x14ac:dyDescent="0.2">
      <c r="A148" t="s">
        <v>438</v>
      </c>
      <c r="B148" t="s">
        <v>13</v>
      </c>
      <c r="C148" t="s">
        <v>95</v>
      </c>
      <c r="D148" t="s">
        <v>14</v>
      </c>
      <c r="E148">
        <v>50</v>
      </c>
      <c r="F148">
        <f ca="1">RAND()</f>
        <v>0.45589957183472796</v>
      </c>
    </row>
    <row r="149" spans="1:6" x14ac:dyDescent="0.2">
      <c r="A149" t="s">
        <v>488</v>
      </c>
      <c r="B149" t="s">
        <v>22</v>
      </c>
      <c r="C149" t="s">
        <v>7</v>
      </c>
      <c r="D149" t="s">
        <v>14</v>
      </c>
      <c r="E149">
        <v>61</v>
      </c>
      <c r="F149">
        <f ca="1">RAND()</f>
        <v>0.4407710551983135</v>
      </c>
    </row>
    <row r="150" spans="1:6" x14ac:dyDescent="0.2">
      <c r="A150" t="s">
        <v>280</v>
      </c>
      <c r="B150" t="s">
        <v>6</v>
      </c>
      <c r="C150" t="s">
        <v>28</v>
      </c>
      <c r="D150" t="s">
        <v>14</v>
      </c>
      <c r="E150">
        <v>70</v>
      </c>
      <c r="F150">
        <f ca="1">RAND()</f>
        <v>0.97335091669068341</v>
      </c>
    </row>
    <row r="151" spans="1:6" x14ac:dyDescent="0.2">
      <c r="A151" t="s">
        <v>452</v>
      </c>
      <c r="B151" t="s">
        <v>13</v>
      </c>
      <c r="C151" t="s">
        <v>11</v>
      </c>
      <c r="D151" t="s">
        <v>8</v>
      </c>
      <c r="E151">
        <v>27</v>
      </c>
      <c r="F151">
        <f ca="1">RAND()</f>
        <v>9.4767429257670566E-3</v>
      </c>
    </row>
    <row r="152" spans="1:6" x14ac:dyDescent="0.2">
      <c r="A152" t="s">
        <v>456</v>
      </c>
      <c r="B152" t="s">
        <v>66</v>
      </c>
      <c r="C152" t="s">
        <v>11</v>
      </c>
      <c r="D152" t="s">
        <v>14</v>
      </c>
      <c r="E152">
        <v>43</v>
      </c>
      <c r="F152">
        <f ca="1">RAND()</f>
        <v>0.67673016325045787</v>
      </c>
    </row>
    <row r="153" spans="1:6" x14ac:dyDescent="0.2">
      <c r="A153" t="s">
        <v>286</v>
      </c>
      <c r="B153" t="s">
        <v>6</v>
      </c>
      <c r="C153" t="s">
        <v>11</v>
      </c>
      <c r="D153" t="s">
        <v>8</v>
      </c>
      <c r="E153">
        <v>69</v>
      </c>
      <c r="F153">
        <f ca="1">RAND()</f>
        <v>0.87704161022434657</v>
      </c>
    </row>
    <row r="154" spans="1:6" x14ac:dyDescent="0.2">
      <c r="A154" t="s">
        <v>498</v>
      </c>
      <c r="B154" t="s">
        <v>45</v>
      </c>
      <c r="C154" t="s">
        <v>7</v>
      </c>
      <c r="D154" t="s">
        <v>8</v>
      </c>
      <c r="E154">
        <v>52</v>
      </c>
      <c r="F154">
        <f ca="1">RAND()</f>
        <v>0.86419164976268681</v>
      </c>
    </row>
    <row r="155" spans="1:6" x14ac:dyDescent="0.2">
      <c r="A155" t="s">
        <v>435</v>
      </c>
      <c r="B155" t="s">
        <v>13</v>
      </c>
      <c r="C155" t="s">
        <v>28</v>
      </c>
      <c r="D155" t="s">
        <v>8</v>
      </c>
      <c r="E155">
        <v>62</v>
      </c>
      <c r="F155">
        <f ca="1">RAND()</f>
        <v>0.22790669306722255</v>
      </c>
    </row>
    <row r="156" spans="1:6" x14ac:dyDescent="0.2">
      <c r="A156" t="s">
        <v>434</v>
      </c>
      <c r="B156" t="s">
        <v>13</v>
      </c>
      <c r="C156" t="s">
        <v>11</v>
      </c>
      <c r="D156" t="s">
        <v>14</v>
      </c>
      <c r="E156">
        <v>53</v>
      </c>
      <c r="F156">
        <f ca="1">RAND()</f>
        <v>0.78526150503930847</v>
      </c>
    </row>
    <row r="157" spans="1:6" x14ac:dyDescent="0.2">
      <c r="A157" t="s">
        <v>340</v>
      </c>
      <c r="B157" t="s">
        <v>47</v>
      </c>
      <c r="C157" t="s">
        <v>11</v>
      </c>
      <c r="D157" t="s">
        <v>14</v>
      </c>
      <c r="E157">
        <v>48</v>
      </c>
      <c r="F157">
        <f ca="1">RAND()</f>
        <v>0.30652957530414382</v>
      </c>
    </row>
    <row r="158" spans="1:6" x14ac:dyDescent="0.2">
      <c r="A158" t="s">
        <v>419</v>
      </c>
      <c r="B158" t="s">
        <v>13</v>
      </c>
      <c r="C158" t="s">
        <v>7</v>
      </c>
      <c r="D158" t="s">
        <v>8</v>
      </c>
      <c r="E158">
        <v>29</v>
      </c>
      <c r="F158">
        <f ca="1">RAND()</f>
        <v>0.59959800242934524</v>
      </c>
    </row>
    <row r="159" spans="1:6" x14ac:dyDescent="0.2">
      <c r="A159" t="s">
        <v>374</v>
      </c>
      <c r="B159" t="s">
        <v>17</v>
      </c>
      <c r="C159" t="s">
        <v>7</v>
      </c>
      <c r="D159" t="s">
        <v>14</v>
      </c>
      <c r="E159">
        <v>74</v>
      </c>
      <c r="F159">
        <f ca="1">RAND()</f>
        <v>0.66532116314348633</v>
      </c>
    </row>
    <row r="160" spans="1:6" x14ac:dyDescent="0.2">
      <c r="A160" t="s">
        <v>310</v>
      </c>
      <c r="B160" t="s">
        <v>57</v>
      </c>
      <c r="C160" t="s">
        <v>28</v>
      </c>
      <c r="D160" t="s">
        <v>14</v>
      </c>
      <c r="E160">
        <v>27</v>
      </c>
      <c r="F160">
        <f ca="1">RAND()</f>
        <v>0.20812046495508663</v>
      </c>
    </row>
    <row r="161" spans="1:6" x14ac:dyDescent="0.2">
      <c r="A161" t="s">
        <v>405</v>
      </c>
      <c r="B161" t="s">
        <v>17</v>
      </c>
      <c r="C161" t="s">
        <v>95</v>
      </c>
      <c r="D161" t="s">
        <v>14</v>
      </c>
      <c r="E161">
        <v>56</v>
      </c>
      <c r="F161">
        <f ca="1">RAND()</f>
        <v>0.67873677187950321</v>
      </c>
    </row>
    <row r="162" spans="1:6" x14ac:dyDescent="0.2">
      <c r="A162" t="s">
        <v>464</v>
      </c>
      <c r="B162" t="s">
        <v>33</v>
      </c>
      <c r="C162" t="s">
        <v>11</v>
      </c>
      <c r="D162" t="s">
        <v>14</v>
      </c>
      <c r="E162">
        <v>42</v>
      </c>
      <c r="F162">
        <f ca="1">RAND()</f>
        <v>0.48677332199296264</v>
      </c>
    </row>
    <row r="163" spans="1:6" x14ac:dyDescent="0.2">
      <c r="A163" t="s">
        <v>416</v>
      </c>
      <c r="B163" t="s">
        <v>13</v>
      </c>
      <c r="C163" t="s">
        <v>7</v>
      </c>
      <c r="D163" t="s">
        <v>14</v>
      </c>
      <c r="E163">
        <v>53</v>
      </c>
      <c r="F163">
        <f ca="1">RAND()</f>
        <v>2.7151059794898069E-2</v>
      </c>
    </row>
    <row r="164" spans="1:6" x14ac:dyDescent="0.2">
      <c r="A164" t="s">
        <v>466</v>
      </c>
      <c r="B164" t="s">
        <v>33</v>
      </c>
      <c r="C164" t="s">
        <v>7</v>
      </c>
      <c r="D164" t="s">
        <v>14</v>
      </c>
      <c r="E164">
        <v>55</v>
      </c>
      <c r="F164">
        <f ca="1">RAND()</f>
        <v>0.43032269090324426</v>
      </c>
    </row>
    <row r="165" spans="1:6" x14ac:dyDescent="0.2">
      <c r="A165" t="s">
        <v>5</v>
      </c>
      <c r="B165" t="s">
        <v>6</v>
      </c>
      <c r="C165" t="s">
        <v>7</v>
      </c>
      <c r="D165" t="s">
        <v>8</v>
      </c>
      <c r="E165">
        <v>46</v>
      </c>
      <c r="F165">
        <f ca="1">RAND()</f>
        <v>0.16196884070013307</v>
      </c>
    </row>
    <row r="166" spans="1:6" x14ac:dyDescent="0.2">
      <c r="A166" t="s">
        <v>402</v>
      </c>
      <c r="B166" t="s">
        <v>17</v>
      </c>
      <c r="C166" t="s">
        <v>38</v>
      </c>
      <c r="D166" t="s">
        <v>14</v>
      </c>
      <c r="E166">
        <v>28</v>
      </c>
      <c r="F166">
        <f ca="1">RAND()</f>
        <v>0.43119765057605342</v>
      </c>
    </row>
    <row r="167" spans="1:6" x14ac:dyDescent="0.2">
      <c r="A167" t="s">
        <v>315</v>
      </c>
      <c r="B167" t="s">
        <v>57</v>
      </c>
      <c r="C167" t="s">
        <v>28</v>
      </c>
      <c r="D167" t="s">
        <v>8</v>
      </c>
      <c r="E167">
        <v>38</v>
      </c>
      <c r="F167">
        <f ca="1">RAND()</f>
        <v>0.82159098450894008</v>
      </c>
    </row>
    <row r="168" spans="1:6" x14ac:dyDescent="0.2">
      <c r="A168" t="s">
        <v>491</v>
      </c>
      <c r="B168" t="s">
        <v>22</v>
      </c>
      <c r="C168" t="s">
        <v>28</v>
      </c>
      <c r="D168" t="s">
        <v>8</v>
      </c>
      <c r="E168">
        <v>50</v>
      </c>
      <c r="F168">
        <f ca="1">RAND()</f>
        <v>0.37943426549942005</v>
      </c>
    </row>
    <row r="169" spans="1:6" x14ac:dyDescent="0.2">
      <c r="A169" t="s">
        <v>380</v>
      </c>
      <c r="B169" t="s">
        <v>17</v>
      </c>
      <c r="C169" t="s">
        <v>7</v>
      </c>
      <c r="D169" t="s">
        <v>14</v>
      </c>
      <c r="E169">
        <v>38</v>
      </c>
      <c r="F169">
        <f ca="1">RAND()</f>
        <v>0.6518633381249489</v>
      </c>
    </row>
    <row r="170" spans="1:6" x14ac:dyDescent="0.2">
      <c r="A170" t="s">
        <v>406</v>
      </c>
      <c r="B170" t="s">
        <v>17</v>
      </c>
      <c r="C170" t="s">
        <v>7</v>
      </c>
      <c r="D170" t="s">
        <v>8</v>
      </c>
      <c r="E170">
        <v>47</v>
      </c>
      <c r="F170">
        <f ca="1">RAND()</f>
        <v>0.85542323769002027</v>
      </c>
    </row>
    <row r="171" spans="1:6" x14ac:dyDescent="0.2">
      <c r="A171" t="s">
        <v>311</v>
      </c>
      <c r="B171" t="s">
        <v>57</v>
      </c>
      <c r="C171" t="s">
        <v>38</v>
      </c>
      <c r="D171" t="s">
        <v>14</v>
      </c>
      <c r="E171">
        <v>60</v>
      </c>
      <c r="F171">
        <f ca="1">RAND()</f>
        <v>0.55744961421144434</v>
      </c>
    </row>
    <row r="172" spans="1:6" x14ac:dyDescent="0.2">
      <c r="A172" t="s">
        <v>443</v>
      </c>
      <c r="B172" t="s">
        <v>13</v>
      </c>
      <c r="C172" t="s">
        <v>38</v>
      </c>
      <c r="D172" t="s">
        <v>14</v>
      </c>
      <c r="E172">
        <v>38</v>
      </c>
      <c r="F172">
        <f ca="1">RAND()</f>
        <v>0.95872617180747532</v>
      </c>
    </row>
    <row r="173" spans="1:6" x14ac:dyDescent="0.2">
      <c r="A173" t="s">
        <v>407</v>
      </c>
      <c r="B173" s="17" t="s">
        <v>17</v>
      </c>
      <c r="C173" t="s">
        <v>7</v>
      </c>
      <c r="D173" t="s">
        <v>8</v>
      </c>
      <c r="E173">
        <v>55</v>
      </c>
      <c r="F173">
        <f ca="1">RAND()</f>
        <v>0.13669213141312653</v>
      </c>
    </row>
    <row r="174" spans="1:6" x14ac:dyDescent="0.2">
      <c r="A174" t="s">
        <v>449</v>
      </c>
      <c r="B174" t="s">
        <v>13</v>
      </c>
      <c r="C174" t="s">
        <v>28</v>
      </c>
      <c r="D174" t="s">
        <v>14</v>
      </c>
      <c r="E174">
        <v>37</v>
      </c>
      <c r="F174">
        <f ca="1">RAND()</f>
        <v>0.49851702967550193</v>
      </c>
    </row>
    <row r="175" spans="1:6" x14ac:dyDescent="0.2">
      <c r="A175" t="s">
        <v>417</v>
      </c>
      <c r="B175" t="s">
        <v>13</v>
      </c>
      <c r="C175" t="s">
        <v>7</v>
      </c>
      <c r="D175" t="s">
        <v>14</v>
      </c>
      <c r="E175">
        <v>48</v>
      </c>
      <c r="F175">
        <f ca="1">RAND()</f>
        <v>0.32249716138664852</v>
      </c>
    </row>
    <row r="176" spans="1:6" x14ac:dyDescent="0.2">
      <c r="A176" t="s">
        <v>387</v>
      </c>
      <c r="B176" t="s">
        <v>17</v>
      </c>
      <c r="C176" t="s">
        <v>11</v>
      </c>
      <c r="D176" t="s">
        <v>8</v>
      </c>
      <c r="E176">
        <v>74</v>
      </c>
      <c r="F176">
        <f ca="1">RAND()</f>
        <v>0.95280229147187123</v>
      </c>
    </row>
    <row r="177" spans="1:6" x14ac:dyDescent="0.2">
      <c r="A177" t="s">
        <v>486</v>
      </c>
      <c r="B177" t="s">
        <v>80</v>
      </c>
      <c r="C177" t="s">
        <v>7</v>
      </c>
      <c r="D177" t="s">
        <v>8</v>
      </c>
      <c r="E177">
        <v>54</v>
      </c>
      <c r="F177">
        <f ca="1">RAND()</f>
        <v>3.2696543154011604E-2</v>
      </c>
    </row>
    <row r="178" spans="1:6" x14ac:dyDescent="0.2">
      <c r="A178" t="s">
        <v>495</v>
      </c>
      <c r="B178" t="s">
        <v>45</v>
      </c>
      <c r="C178" t="s">
        <v>7</v>
      </c>
      <c r="D178" t="s">
        <v>14</v>
      </c>
      <c r="E178">
        <v>30</v>
      </c>
      <c r="F178">
        <f ca="1">RAND()</f>
        <v>0.20008130054229123</v>
      </c>
    </row>
    <row r="179" spans="1:6" x14ac:dyDescent="0.2">
      <c r="A179" t="s">
        <v>329</v>
      </c>
      <c r="B179" t="s">
        <v>30</v>
      </c>
      <c r="C179" t="s">
        <v>11</v>
      </c>
      <c r="D179" t="s">
        <v>14</v>
      </c>
      <c r="E179">
        <v>55</v>
      </c>
      <c r="F179">
        <f ca="1">RAND()</f>
        <v>0.66259494589058299</v>
      </c>
    </row>
    <row r="180" spans="1:6" x14ac:dyDescent="0.2">
      <c r="A180" t="s">
        <v>300</v>
      </c>
      <c r="B180" t="s">
        <v>57</v>
      </c>
      <c r="C180" t="s">
        <v>28</v>
      </c>
      <c r="D180" t="s">
        <v>14</v>
      </c>
      <c r="E180">
        <v>45</v>
      </c>
      <c r="F180">
        <f ca="1">RAND()</f>
        <v>0.1771380594221259</v>
      </c>
    </row>
    <row r="181" spans="1:6" x14ac:dyDescent="0.2">
      <c r="A181" t="s">
        <v>317</v>
      </c>
      <c r="B181" t="s">
        <v>116</v>
      </c>
      <c r="C181" t="s">
        <v>11</v>
      </c>
      <c r="D181" t="s">
        <v>8</v>
      </c>
      <c r="E181">
        <v>55</v>
      </c>
      <c r="F181">
        <f ca="1">RAND()</f>
        <v>0.60085138758597645</v>
      </c>
    </row>
    <row r="182" spans="1:6" x14ac:dyDescent="0.2">
      <c r="A182" t="s">
        <v>397</v>
      </c>
      <c r="B182" t="s">
        <v>17</v>
      </c>
      <c r="C182" t="s">
        <v>7</v>
      </c>
      <c r="D182" t="s">
        <v>14</v>
      </c>
      <c r="E182">
        <v>60</v>
      </c>
      <c r="F182">
        <f ca="1">RAND()</f>
        <v>0.23704987633483476</v>
      </c>
    </row>
    <row r="183" spans="1:6" x14ac:dyDescent="0.2">
      <c r="A183" t="s">
        <v>439</v>
      </c>
      <c r="B183" t="s">
        <v>13</v>
      </c>
      <c r="C183" t="s">
        <v>11</v>
      </c>
      <c r="D183" t="s">
        <v>14</v>
      </c>
      <c r="E183">
        <v>74</v>
      </c>
      <c r="F183">
        <f ca="1">RAND()</f>
        <v>0.55314309225657154</v>
      </c>
    </row>
    <row r="184" spans="1:6" x14ac:dyDescent="0.2">
      <c r="A184" t="s">
        <v>322</v>
      </c>
      <c r="B184" t="s">
        <v>144</v>
      </c>
      <c r="C184" t="s">
        <v>7</v>
      </c>
      <c r="D184" t="s">
        <v>14</v>
      </c>
      <c r="E184">
        <v>65</v>
      </c>
      <c r="F184">
        <f ca="1">RAND()</f>
        <v>0.93725903625647311</v>
      </c>
    </row>
    <row r="185" spans="1:6" x14ac:dyDescent="0.2">
      <c r="A185" t="s">
        <v>395</v>
      </c>
      <c r="B185" t="s">
        <v>17</v>
      </c>
      <c r="C185" t="s">
        <v>19</v>
      </c>
      <c r="D185" t="s">
        <v>14</v>
      </c>
      <c r="E185">
        <v>57</v>
      </c>
      <c r="F185">
        <f ca="1">RAND()</f>
        <v>0.95592817218083015</v>
      </c>
    </row>
    <row r="186" spans="1:6" x14ac:dyDescent="0.2">
      <c r="A186" t="s">
        <v>478</v>
      </c>
      <c r="B186" t="s">
        <v>33</v>
      </c>
      <c r="C186" t="s">
        <v>7</v>
      </c>
      <c r="D186" t="s">
        <v>14</v>
      </c>
      <c r="E186">
        <v>47</v>
      </c>
      <c r="F186">
        <f ca="1">RAND()</f>
        <v>0.59681070105006007</v>
      </c>
    </row>
    <row r="187" spans="1:6" x14ac:dyDescent="0.2">
      <c r="A187" t="s">
        <v>323</v>
      </c>
      <c r="B187" t="s">
        <v>30</v>
      </c>
      <c r="C187" t="s">
        <v>7</v>
      </c>
      <c r="D187" t="s">
        <v>8</v>
      </c>
      <c r="E187">
        <v>42</v>
      </c>
      <c r="F187">
        <f ca="1">RAND()</f>
        <v>0.63702903362031738</v>
      </c>
    </row>
    <row r="188" spans="1:6" x14ac:dyDescent="0.2">
      <c r="A188" t="s">
        <v>475</v>
      </c>
      <c r="B188" t="s">
        <v>33</v>
      </c>
      <c r="C188" t="s">
        <v>19</v>
      </c>
      <c r="D188" t="s">
        <v>8</v>
      </c>
      <c r="E188">
        <v>33</v>
      </c>
      <c r="F188">
        <f ca="1">RAND()</f>
        <v>6.246415076130285E-2</v>
      </c>
    </row>
    <row r="189" spans="1:6" x14ac:dyDescent="0.2">
      <c r="A189" t="s">
        <v>294</v>
      </c>
      <c r="B189" t="s">
        <v>40</v>
      </c>
      <c r="C189" t="s">
        <v>28</v>
      </c>
      <c r="D189" t="s">
        <v>14</v>
      </c>
      <c r="E189">
        <v>57</v>
      </c>
      <c r="F189">
        <f ca="1">RAND()</f>
        <v>0.36783784418850796</v>
      </c>
    </row>
    <row r="190" spans="1:6" x14ac:dyDescent="0.2">
      <c r="A190" t="s">
        <v>343</v>
      </c>
      <c r="B190" t="s">
        <v>47</v>
      </c>
      <c r="C190" t="s">
        <v>28</v>
      </c>
      <c r="D190" t="s">
        <v>14</v>
      </c>
      <c r="E190">
        <v>54</v>
      </c>
      <c r="F190">
        <f ca="1">RAND()</f>
        <v>0.38853189512902897</v>
      </c>
    </row>
    <row r="191" spans="1:6" x14ac:dyDescent="0.2">
      <c r="A191" t="s">
        <v>385</v>
      </c>
      <c r="B191" t="s">
        <v>17</v>
      </c>
      <c r="C191" t="s">
        <v>7</v>
      </c>
      <c r="D191" t="s">
        <v>8</v>
      </c>
      <c r="E191">
        <v>55</v>
      </c>
      <c r="F191">
        <f ca="1">RAND()</f>
        <v>0.28414815073993038</v>
      </c>
    </row>
    <row r="192" spans="1:6" x14ac:dyDescent="0.2">
      <c r="A192" t="s">
        <v>291</v>
      </c>
      <c r="B192" t="s">
        <v>6</v>
      </c>
      <c r="C192" t="s">
        <v>28</v>
      </c>
      <c r="D192" t="s">
        <v>14</v>
      </c>
      <c r="E192">
        <v>51</v>
      </c>
      <c r="F192">
        <f ca="1">RAND()</f>
        <v>0.839901277212873</v>
      </c>
    </row>
    <row r="193" spans="1:6" x14ac:dyDescent="0.2">
      <c r="A193" t="s">
        <v>331</v>
      </c>
      <c r="B193" t="s">
        <v>30</v>
      </c>
      <c r="C193" t="s">
        <v>11</v>
      </c>
      <c r="D193" t="s">
        <v>8</v>
      </c>
      <c r="E193">
        <v>50</v>
      </c>
      <c r="F193">
        <f ca="1">RAND()</f>
        <v>0.68274253933844664</v>
      </c>
    </row>
    <row r="194" spans="1:6" x14ac:dyDescent="0.2">
      <c r="A194" t="s">
        <v>383</v>
      </c>
      <c r="B194" t="s">
        <v>17</v>
      </c>
      <c r="C194" t="s">
        <v>28</v>
      </c>
      <c r="D194" t="s">
        <v>8</v>
      </c>
      <c r="E194">
        <v>43</v>
      </c>
      <c r="F194">
        <f ca="1">RAND()</f>
        <v>0.69350014910829649</v>
      </c>
    </row>
    <row r="195" spans="1:6" x14ac:dyDescent="0.2">
      <c r="A195" t="s">
        <v>415</v>
      </c>
      <c r="B195" t="s">
        <v>138</v>
      </c>
      <c r="C195" t="s">
        <v>11</v>
      </c>
      <c r="D195" t="s">
        <v>14</v>
      </c>
      <c r="E195">
        <v>35</v>
      </c>
      <c r="F195">
        <f ca="1">RAND()</f>
        <v>0.4548213866217784</v>
      </c>
    </row>
    <row r="196" spans="1:6" x14ac:dyDescent="0.2">
      <c r="A196" t="s">
        <v>320</v>
      </c>
      <c r="B196" t="s">
        <v>144</v>
      </c>
      <c r="C196" t="s">
        <v>7</v>
      </c>
      <c r="D196" t="s">
        <v>8</v>
      </c>
      <c r="E196">
        <v>64</v>
      </c>
      <c r="F196">
        <f ca="1">RAND()</f>
        <v>0.39656682655158626</v>
      </c>
    </row>
    <row r="197" spans="1:6" x14ac:dyDescent="0.2">
      <c r="A197" t="s">
        <v>493</v>
      </c>
      <c r="B197" t="s">
        <v>45</v>
      </c>
      <c r="C197" t="s">
        <v>11</v>
      </c>
      <c r="D197" t="s">
        <v>14</v>
      </c>
      <c r="E197">
        <v>57</v>
      </c>
      <c r="F197">
        <f ca="1">RAND()</f>
        <v>0.63531566713893994</v>
      </c>
    </row>
    <row r="198" spans="1:6" x14ac:dyDescent="0.2">
      <c r="A198" t="s">
        <v>441</v>
      </c>
      <c r="B198" t="s">
        <v>13</v>
      </c>
      <c r="C198" t="s">
        <v>28</v>
      </c>
      <c r="D198" t="s">
        <v>14</v>
      </c>
      <c r="E198">
        <v>78</v>
      </c>
      <c r="F198">
        <f ca="1">RAND()</f>
        <v>0.42979572650691522</v>
      </c>
    </row>
    <row r="199" spans="1:6" x14ac:dyDescent="0.2">
      <c r="A199" t="s">
        <v>408</v>
      </c>
      <c r="B199" t="s">
        <v>84</v>
      </c>
      <c r="C199" t="s">
        <v>11</v>
      </c>
      <c r="D199" t="s">
        <v>14</v>
      </c>
      <c r="E199">
        <v>54</v>
      </c>
      <c r="F199">
        <f ca="1">RAND()</f>
        <v>0.87720221440485147</v>
      </c>
    </row>
    <row r="200" spans="1:6" x14ac:dyDescent="0.2">
      <c r="A200" t="s">
        <v>485</v>
      </c>
      <c r="B200" t="s">
        <v>80</v>
      </c>
      <c r="C200" t="s">
        <v>7</v>
      </c>
      <c r="D200" t="s">
        <v>14</v>
      </c>
      <c r="E200">
        <v>63</v>
      </c>
      <c r="F200">
        <f ca="1">RAND()</f>
        <v>0.91287239241423168</v>
      </c>
    </row>
    <row r="201" spans="1:6" x14ac:dyDescent="0.2">
      <c r="A201" t="s">
        <v>446</v>
      </c>
      <c r="B201" t="s">
        <v>13</v>
      </c>
      <c r="C201" t="s">
        <v>28</v>
      </c>
      <c r="D201" t="s">
        <v>8</v>
      </c>
      <c r="E201">
        <v>39</v>
      </c>
      <c r="F201">
        <f ca="1">RAND()</f>
        <v>0.74299840693620955</v>
      </c>
    </row>
    <row r="202" spans="1:6" x14ac:dyDescent="0.2">
      <c r="A202" t="s">
        <v>467</v>
      </c>
      <c r="B202" t="s">
        <v>33</v>
      </c>
      <c r="C202" t="s">
        <v>11</v>
      </c>
      <c r="D202" t="s">
        <v>14</v>
      </c>
      <c r="E202">
        <v>57</v>
      </c>
      <c r="F202">
        <f ca="1">RAND()</f>
        <v>0.92916968370475117</v>
      </c>
    </row>
    <row r="203" spans="1:6" x14ac:dyDescent="0.2">
      <c r="A203" t="s">
        <v>440</v>
      </c>
      <c r="B203" t="s">
        <v>13</v>
      </c>
      <c r="C203" t="s">
        <v>28</v>
      </c>
      <c r="D203" t="s">
        <v>14</v>
      </c>
      <c r="E203">
        <v>32</v>
      </c>
      <c r="F203">
        <f ca="1">RAND()</f>
        <v>0.13828206669114307</v>
      </c>
    </row>
    <row r="204" spans="1:6" x14ac:dyDescent="0.2">
      <c r="A204" t="s">
        <v>301</v>
      </c>
      <c r="B204" t="s">
        <v>57</v>
      </c>
      <c r="C204" t="s">
        <v>11</v>
      </c>
      <c r="D204" t="s">
        <v>14</v>
      </c>
      <c r="E204">
        <v>46</v>
      </c>
      <c r="F204">
        <f ca="1">RAND()</f>
        <v>0.90600154729104443</v>
      </c>
    </row>
    <row r="205" spans="1:6" x14ac:dyDescent="0.2">
      <c r="A205" t="s">
        <v>442</v>
      </c>
      <c r="B205" t="s">
        <v>13</v>
      </c>
      <c r="C205" t="s">
        <v>7</v>
      </c>
      <c r="D205" t="s">
        <v>14</v>
      </c>
      <c r="E205">
        <v>44</v>
      </c>
      <c r="F205">
        <f ca="1">RAND()</f>
        <v>0.62852701559173729</v>
      </c>
    </row>
    <row r="206" spans="1:6" x14ac:dyDescent="0.2">
      <c r="A206" t="s">
        <v>430</v>
      </c>
      <c r="B206" t="s">
        <v>13</v>
      </c>
      <c r="C206" t="s">
        <v>7</v>
      </c>
      <c r="D206" t="s">
        <v>14</v>
      </c>
      <c r="E206">
        <v>33</v>
      </c>
      <c r="F206">
        <f ca="1">RAND()</f>
        <v>0.64528862327449477</v>
      </c>
    </row>
    <row r="207" spans="1:6" x14ac:dyDescent="0.2">
      <c r="A207" t="s">
        <v>341</v>
      </c>
      <c r="B207" t="s">
        <v>47</v>
      </c>
      <c r="C207" t="s">
        <v>7</v>
      </c>
      <c r="D207" t="s">
        <v>14</v>
      </c>
      <c r="E207">
        <v>42</v>
      </c>
      <c r="F207">
        <f ca="1">RAND()</f>
        <v>0.17301348472661338</v>
      </c>
    </row>
    <row r="208" spans="1:6" x14ac:dyDescent="0.2">
      <c r="A208" t="s">
        <v>277</v>
      </c>
      <c r="B208" t="s">
        <v>27</v>
      </c>
      <c r="C208" t="s">
        <v>7</v>
      </c>
      <c r="D208" t="s">
        <v>8</v>
      </c>
      <c r="E208">
        <v>47</v>
      </c>
      <c r="F208">
        <f ca="1">RAND()</f>
        <v>0.15106657419563863</v>
      </c>
    </row>
    <row r="209" spans="1:6" x14ac:dyDescent="0.2">
      <c r="A209" t="s">
        <v>401</v>
      </c>
      <c r="B209" t="s">
        <v>17</v>
      </c>
      <c r="C209" t="s">
        <v>11</v>
      </c>
      <c r="D209" t="s">
        <v>14</v>
      </c>
      <c r="E209">
        <v>37</v>
      </c>
      <c r="F209">
        <f ca="1">RAND()</f>
        <v>0.54192584669594301</v>
      </c>
    </row>
    <row r="210" spans="1:6" x14ac:dyDescent="0.2">
      <c r="A210" t="s">
        <v>334</v>
      </c>
      <c r="B210" t="s">
        <v>104</v>
      </c>
      <c r="C210" t="s">
        <v>7</v>
      </c>
      <c r="D210" t="s">
        <v>14</v>
      </c>
      <c r="E210">
        <v>46</v>
      </c>
      <c r="F210">
        <f ca="1">RAND()</f>
        <v>0.94642330730379853</v>
      </c>
    </row>
    <row r="211" spans="1:6" x14ac:dyDescent="0.2">
      <c r="A211" t="s">
        <v>309</v>
      </c>
      <c r="B211" t="s">
        <v>57</v>
      </c>
      <c r="C211" t="s">
        <v>7</v>
      </c>
      <c r="D211" t="s">
        <v>14</v>
      </c>
      <c r="E211">
        <v>57</v>
      </c>
      <c r="F211">
        <f ca="1">RAND()</f>
        <v>0.66018797988143496</v>
      </c>
    </row>
    <row r="212" spans="1:6" x14ac:dyDescent="0.2">
      <c r="A212" t="s">
        <v>338</v>
      </c>
      <c r="B212" t="s">
        <v>47</v>
      </c>
      <c r="C212" t="s">
        <v>7</v>
      </c>
      <c r="D212" t="s">
        <v>14</v>
      </c>
      <c r="E212">
        <v>50</v>
      </c>
      <c r="F212">
        <f ca="1">RAND()</f>
        <v>0.96748143027185329</v>
      </c>
    </row>
    <row r="213" spans="1:6" x14ac:dyDescent="0.2">
      <c r="A213" t="s">
        <v>386</v>
      </c>
      <c r="B213" t="s">
        <v>17</v>
      </c>
      <c r="C213" t="s">
        <v>38</v>
      </c>
      <c r="D213" t="s">
        <v>8</v>
      </c>
      <c r="E213">
        <v>46</v>
      </c>
      <c r="F213">
        <f ca="1">RAND()</f>
        <v>0.24927432079459533</v>
      </c>
    </row>
    <row r="214" spans="1:6" x14ac:dyDescent="0.2">
      <c r="A214" t="s">
        <v>447</v>
      </c>
      <c r="B214" t="s">
        <v>13</v>
      </c>
      <c r="C214" t="s">
        <v>11</v>
      </c>
      <c r="D214" t="s">
        <v>14</v>
      </c>
      <c r="E214">
        <v>55</v>
      </c>
      <c r="F214">
        <f ca="1">RAND()</f>
        <v>0.13932795804238829</v>
      </c>
    </row>
    <row r="215" spans="1:6" x14ac:dyDescent="0.2">
      <c r="A215" t="s">
        <v>448</v>
      </c>
      <c r="B215" t="s">
        <v>13</v>
      </c>
      <c r="C215" s="17" t="s">
        <v>28</v>
      </c>
      <c r="D215" t="s">
        <v>14</v>
      </c>
      <c r="E215">
        <v>50</v>
      </c>
      <c r="F215">
        <f ca="1">RAND()</f>
        <v>0.82580696763558559</v>
      </c>
    </row>
    <row r="216" spans="1:6" x14ac:dyDescent="0.2">
      <c r="A216" t="s">
        <v>325</v>
      </c>
      <c r="B216" t="s">
        <v>30</v>
      </c>
      <c r="C216" t="s">
        <v>7</v>
      </c>
      <c r="D216" t="s">
        <v>8</v>
      </c>
      <c r="E216">
        <v>63</v>
      </c>
      <c r="F216">
        <f ca="1">RAND()</f>
        <v>0.62348223300807393</v>
      </c>
    </row>
    <row r="217" spans="1:6" x14ac:dyDescent="0.2">
      <c r="A217" t="s">
        <v>295</v>
      </c>
      <c r="B217" t="s">
        <v>40</v>
      </c>
      <c r="C217" t="s">
        <v>7</v>
      </c>
      <c r="D217" t="s">
        <v>14</v>
      </c>
      <c r="E217">
        <v>46</v>
      </c>
      <c r="F217">
        <f ca="1">RAND()</f>
        <v>0.10246185640673966</v>
      </c>
    </row>
    <row r="218" spans="1:6" x14ac:dyDescent="0.2">
      <c r="A218" t="s">
        <v>296</v>
      </c>
      <c r="B218" t="s">
        <v>40</v>
      </c>
      <c r="C218" t="s">
        <v>11</v>
      </c>
      <c r="D218" t="s">
        <v>14</v>
      </c>
      <c r="E218">
        <v>53</v>
      </c>
      <c r="F218">
        <f ca="1">RAND()</f>
        <v>0.96714249900734617</v>
      </c>
    </row>
    <row r="219" spans="1:6" x14ac:dyDescent="0.2">
      <c r="A219" t="s">
        <v>348</v>
      </c>
      <c r="B219" t="s">
        <v>10</v>
      </c>
      <c r="C219" t="s">
        <v>11</v>
      </c>
      <c r="D219" t="s">
        <v>8</v>
      </c>
      <c r="E219">
        <v>50</v>
      </c>
      <c r="F219">
        <f ca="1">RAND()</f>
        <v>0.12065640790214827</v>
      </c>
    </row>
    <row r="220" spans="1:6" x14ac:dyDescent="0.2">
      <c r="A220" t="s">
        <v>287</v>
      </c>
      <c r="B220" t="s">
        <v>6</v>
      </c>
      <c r="C220" t="s">
        <v>28</v>
      </c>
      <c r="D220" t="s">
        <v>8</v>
      </c>
      <c r="E220">
        <v>47</v>
      </c>
      <c r="F220">
        <f ca="1">RAND()</f>
        <v>0.15275500478357196</v>
      </c>
    </row>
    <row r="221" spans="1:6" x14ac:dyDescent="0.2">
      <c r="A221" t="s">
        <v>357</v>
      </c>
      <c r="B221" t="s">
        <v>64</v>
      </c>
      <c r="C221" t="s">
        <v>7</v>
      </c>
      <c r="D221" t="s">
        <v>8</v>
      </c>
      <c r="E221">
        <v>27</v>
      </c>
      <c r="F221">
        <f ca="1">RAND()</f>
        <v>0.7648346847486075</v>
      </c>
    </row>
    <row r="222" spans="1:6" x14ac:dyDescent="0.2">
      <c r="A222" t="s">
        <v>390</v>
      </c>
      <c r="B222" t="s">
        <v>17</v>
      </c>
      <c r="C222" t="s">
        <v>11</v>
      </c>
      <c r="D222" t="s">
        <v>14</v>
      </c>
      <c r="E222">
        <v>48</v>
      </c>
      <c r="F222">
        <f ca="1">RAND()</f>
        <v>0.28041737835115477</v>
      </c>
    </row>
    <row r="223" spans="1:6" x14ac:dyDescent="0.2">
      <c r="A223" t="s">
        <v>421</v>
      </c>
      <c r="B223" t="s">
        <v>13</v>
      </c>
      <c r="C223" t="s">
        <v>7</v>
      </c>
      <c r="D223" t="s">
        <v>8</v>
      </c>
      <c r="E223">
        <v>46</v>
      </c>
      <c r="F223">
        <f ca="1">RAND()</f>
        <v>0.73820594519116922</v>
      </c>
    </row>
    <row r="224" spans="1:6" x14ac:dyDescent="0.2">
      <c r="A224" t="s">
        <v>339</v>
      </c>
      <c r="B224" t="s">
        <v>47</v>
      </c>
      <c r="C224" t="s">
        <v>28</v>
      </c>
      <c r="D224" t="s">
        <v>14</v>
      </c>
      <c r="E224">
        <v>39</v>
      </c>
      <c r="F224">
        <f ca="1">RAND()</f>
        <v>7.6887593520474251E-2</v>
      </c>
    </row>
    <row r="225" spans="1:6" x14ac:dyDescent="0.2">
      <c r="A225" t="s">
        <v>391</v>
      </c>
      <c r="B225" t="s">
        <v>17</v>
      </c>
      <c r="C225" t="s">
        <v>28</v>
      </c>
      <c r="D225" t="s">
        <v>8</v>
      </c>
      <c r="E225">
        <v>50</v>
      </c>
      <c r="F225">
        <f ca="1">RAND()</f>
        <v>0.19100809531039764</v>
      </c>
    </row>
    <row r="226" spans="1:6" x14ac:dyDescent="0.2">
      <c r="A226" t="s">
        <v>378</v>
      </c>
      <c r="B226" t="s">
        <v>17</v>
      </c>
      <c r="C226" t="s">
        <v>11</v>
      </c>
      <c r="D226" t="s">
        <v>8</v>
      </c>
      <c r="E226">
        <v>50</v>
      </c>
      <c r="F226">
        <f ca="1">RAND()</f>
        <v>0.88242013083000015</v>
      </c>
    </row>
    <row r="227" spans="1:6" x14ac:dyDescent="0.2">
      <c r="A227" t="s">
        <v>373</v>
      </c>
      <c r="B227" t="s">
        <v>17</v>
      </c>
      <c r="C227" t="s">
        <v>91</v>
      </c>
      <c r="D227" t="s">
        <v>14</v>
      </c>
      <c r="E227">
        <v>37</v>
      </c>
      <c r="F227">
        <f ca="1">RAND()</f>
        <v>0.84638028029647949</v>
      </c>
    </row>
    <row r="228" spans="1:6" x14ac:dyDescent="0.2">
      <c r="A228" t="s">
        <v>274</v>
      </c>
      <c r="B228" t="s">
        <v>27</v>
      </c>
      <c r="C228" t="s">
        <v>28</v>
      </c>
      <c r="D228" t="s">
        <v>8</v>
      </c>
      <c r="E228">
        <v>48</v>
      </c>
      <c r="F228">
        <f ca="1">RAND()</f>
        <v>0.25641081944833455</v>
      </c>
    </row>
    <row r="229" spans="1:6" x14ac:dyDescent="0.2">
      <c r="A229" t="s">
        <v>400</v>
      </c>
      <c r="B229" t="s">
        <v>17</v>
      </c>
      <c r="C229" t="s">
        <v>28</v>
      </c>
      <c r="D229" t="s">
        <v>14</v>
      </c>
      <c r="E229">
        <v>45</v>
      </c>
      <c r="F229">
        <f ca="1">RAND()</f>
        <v>0.49329102775957379</v>
      </c>
    </row>
    <row r="230" spans="1:6" x14ac:dyDescent="0.2">
      <c r="A230" t="s">
        <v>388</v>
      </c>
      <c r="B230" t="s">
        <v>17</v>
      </c>
      <c r="C230" t="s">
        <v>28</v>
      </c>
      <c r="D230" t="s">
        <v>8</v>
      </c>
      <c r="E230">
        <v>55</v>
      </c>
      <c r="F230">
        <f ca="1">RAND()</f>
        <v>0.33040258561554514</v>
      </c>
    </row>
    <row r="231" spans="1:6" x14ac:dyDescent="0.2">
      <c r="A231" t="s">
        <v>463</v>
      </c>
      <c r="B231" t="s">
        <v>66</v>
      </c>
      <c r="C231" t="s">
        <v>7</v>
      </c>
      <c r="D231" t="s">
        <v>14</v>
      </c>
      <c r="E231">
        <v>30</v>
      </c>
      <c r="F231">
        <f ca="1">RAND()</f>
        <v>1.9958254646107454E-3</v>
      </c>
    </row>
    <row r="232" spans="1:6" x14ac:dyDescent="0.2">
      <c r="A232" t="s">
        <v>389</v>
      </c>
      <c r="B232" t="s">
        <v>17</v>
      </c>
      <c r="C232" t="s">
        <v>11</v>
      </c>
      <c r="D232" t="s">
        <v>14</v>
      </c>
      <c r="E232">
        <v>67</v>
      </c>
      <c r="F232">
        <f ca="1">RAND()</f>
        <v>0.92892677799957357</v>
      </c>
    </row>
    <row r="233" spans="1:6" x14ac:dyDescent="0.2">
      <c r="A233" t="s">
        <v>351</v>
      </c>
      <c r="B233" t="s">
        <v>64</v>
      </c>
      <c r="C233" t="s">
        <v>11</v>
      </c>
      <c r="D233" t="s">
        <v>8</v>
      </c>
      <c r="E233">
        <v>43</v>
      </c>
      <c r="F233">
        <f ca="1">RAND()</f>
        <v>0.20905970812258845</v>
      </c>
    </row>
    <row r="235" spans="1:6" ht="14.25" x14ac:dyDescent="0.2">
      <c r="A235" s="19" t="s">
        <v>506</v>
      </c>
      <c r="B235" s="19">
        <f>AVERAGE(Tabela1[Idade])</f>
        <v>50.295652173913041</v>
      </c>
      <c r="C235" s="19"/>
    </row>
    <row r="236" spans="1:6" ht="14.25" x14ac:dyDescent="0.2">
      <c r="A236" s="19" t="s">
        <v>507</v>
      </c>
      <c r="B236" s="19">
        <f>MEDIAN(Tabela1[Idade])</f>
        <v>50</v>
      </c>
      <c r="C236" s="19"/>
    </row>
    <row r="237" spans="1:6" ht="14.25" x14ac:dyDescent="0.2">
      <c r="A237" s="19" t="s">
        <v>511</v>
      </c>
      <c r="B237" s="19">
        <f>_xlfn.MODE.SNGL(Tabela1[Idade])</f>
        <v>46</v>
      </c>
      <c r="C237" s="19">
        <f>_xlfn.MODE.MULT(Tabela1[Idade])</f>
        <v>46</v>
      </c>
    </row>
    <row r="238" spans="1:6" ht="14.25" x14ac:dyDescent="0.2">
      <c r="A238" s="19" t="s">
        <v>508</v>
      </c>
      <c r="B238" s="19">
        <f>_xlfn.STDEV.P(Tabela1[Idade])</f>
        <v>10.683163440498713</v>
      </c>
      <c r="C238" s="19"/>
    </row>
    <row r="239" spans="1:6" ht="14.25" x14ac:dyDescent="0.2">
      <c r="A239" s="19" t="s">
        <v>509</v>
      </c>
      <c r="B239" s="19">
        <v>78</v>
      </c>
      <c r="C239" s="19"/>
    </row>
    <row r="240" spans="1:6" ht="14.25" x14ac:dyDescent="0.2">
      <c r="A240" s="19" t="s">
        <v>510</v>
      </c>
      <c r="B240" s="19">
        <v>23</v>
      </c>
      <c r="C240" s="19"/>
    </row>
    <row r="241" spans="1:3" ht="14.25" x14ac:dyDescent="0.2">
      <c r="A241" s="21" t="s">
        <v>8</v>
      </c>
      <c r="B241" s="21" t="s">
        <v>14</v>
      </c>
      <c r="C241" s="12"/>
    </row>
    <row r="242" spans="1:3" ht="14.25" x14ac:dyDescent="0.2">
      <c r="A242" s="22">
        <v>82</v>
      </c>
      <c r="B242" s="22">
        <v>148</v>
      </c>
      <c r="C242" s="12"/>
    </row>
    <row r="243" spans="1:3" ht="42.75" x14ac:dyDescent="0.2">
      <c r="A243" s="12"/>
      <c r="B243" s="12"/>
      <c r="C243" s="23" t="s">
        <v>271</v>
      </c>
    </row>
  </sheetData>
  <sortState xmlns:xlrd2="http://schemas.microsoft.com/office/spreadsheetml/2017/richdata2" ref="H30:L38">
    <sortCondition ref="J29:J38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F2BC-A34C-4B38-A972-BC787B11DFBA}">
  <dimension ref="A3:B27"/>
  <sheetViews>
    <sheetView workbookViewId="0">
      <selection activeCell="D21" sqref="D21"/>
    </sheetView>
  </sheetViews>
  <sheetFormatPr defaultRowHeight="12.75" x14ac:dyDescent="0.2"/>
  <cols>
    <col min="1" max="1" width="18.7109375" bestFit="1" customWidth="1"/>
    <col min="2" max="2" width="19.28515625" bestFit="1" customWidth="1"/>
  </cols>
  <sheetData>
    <row r="3" spans="1:2" x14ac:dyDescent="0.2">
      <c r="A3" s="15" t="s">
        <v>272</v>
      </c>
      <c r="B3" t="s">
        <v>501</v>
      </c>
    </row>
    <row r="4" spans="1:2" x14ac:dyDescent="0.2">
      <c r="A4" s="16" t="s">
        <v>27</v>
      </c>
      <c r="B4">
        <v>5</v>
      </c>
    </row>
    <row r="5" spans="1:2" x14ac:dyDescent="0.2">
      <c r="A5" s="16" t="s">
        <v>6</v>
      </c>
      <c r="B5">
        <v>16</v>
      </c>
    </row>
    <row r="6" spans="1:2" x14ac:dyDescent="0.2">
      <c r="A6" s="16" t="s">
        <v>40</v>
      </c>
      <c r="B6">
        <v>3</v>
      </c>
    </row>
    <row r="7" spans="1:2" x14ac:dyDescent="0.2">
      <c r="A7" s="16" t="s">
        <v>57</v>
      </c>
      <c r="B7">
        <v>19</v>
      </c>
    </row>
    <row r="8" spans="1:2" x14ac:dyDescent="0.2">
      <c r="A8" s="16" t="s">
        <v>116</v>
      </c>
      <c r="B8">
        <v>3</v>
      </c>
    </row>
    <row r="9" spans="1:2" x14ac:dyDescent="0.2">
      <c r="A9" s="16" t="s">
        <v>144</v>
      </c>
      <c r="B9">
        <v>4</v>
      </c>
    </row>
    <row r="10" spans="1:2" x14ac:dyDescent="0.2">
      <c r="A10" s="16" t="s">
        <v>30</v>
      </c>
      <c r="B10">
        <v>9</v>
      </c>
    </row>
    <row r="11" spans="1:2" x14ac:dyDescent="0.2">
      <c r="A11" s="16" t="s">
        <v>55</v>
      </c>
      <c r="B11">
        <v>2</v>
      </c>
    </row>
    <row r="12" spans="1:2" x14ac:dyDescent="0.2">
      <c r="A12" s="16" t="s">
        <v>104</v>
      </c>
      <c r="B12">
        <v>3</v>
      </c>
    </row>
    <row r="13" spans="1:2" x14ac:dyDescent="0.2">
      <c r="A13" s="16" t="s">
        <v>47</v>
      </c>
      <c r="B13">
        <v>9</v>
      </c>
    </row>
    <row r="14" spans="1:2" x14ac:dyDescent="0.2">
      <c r="A14" s="16" t="s">
        <v>155</v>
      </c>
      <c r="B14">
        <v>2</v>
      </c>
    </row>
    <row r="15" spans="1:2" x14ac:dyDescent="0.2">
      <c r="A15" s="16" t="s">
        <v>10</v>
      </c>
      <c r="B15">
        <v>3</v>
      </c>
    </row>
    <row r="16" spans="1:2" x14ac:dyDescent="0.2">
      <c r="A16" s="16" t="s">
        <v>64</v>
      </c>
      <c r="B16">
        <v>10</v>
      </c>
    </row>
    <row r="17" spans="1:2" x14ac:dyDescent="0.2">
      <c r="A17" s="16" t="s">
        <v>17</v>
      </c>
      <c r="B17">
        <v>47</v>
      </c>
    </row>
    <row r="18" spans="1:2" x14ac:dyDescent="0.2">
      <c r="A18" s="16" t="s">
        <v>166</v>
      </c>
      <c r="B18">
        <v>1</v>
      </c>
    </row>
    <row r="19" spans="1:2" x14ac:dyDescent="0.2">
      <c r="A19" s="16" t="s">
        <v>84</v>
      </c>
      <c r="B19">
        <v>6</v>
      </c>
    </row>
    <row r="20" spans="1:2" x14ac:dyDescent="0.2">
      <c r="A20" s="16" t="s">
        <v>138</v>
      </c>
      <c r="B20">
        <v>2</v>
      </c>
    </row>
    <row r="21" spans="1:2" x14ac:dyDescent="0.2">
      <c r="A21" s="16" t="s">
        <v>13</v>
      </c>
      <c r="B21">
        <v>40</v>
      </c>
    </row>
    <row r="22" spans="1:2" x14ac:dyDescent="0.2">
      <c r="A22" s="16" t="s">
        <v>66</v>
      </c>
      <c r="B22">
        <v>9</v>
      </c>
    </row>
    <row r="23" spans="1:2" x14ac:dyDescent="0.2">
      <c r="A23" s="16" t="s">
        <v>33</v>
      </c>
      <c r="B23">
        <v>19</v>
      </c>
    </row>
    <row r="24" spans="1:2" x14ac:dyDescent="0.2">
      <c r="A24" s="16" t="s">
        <v>80</v>
      </c>
      <c r="B24">
        <v>5</v>
      </c>
    </row>
    <row r="25" spans="1:2" x14ac:dyDescent="0.2">
      <c r="A25" s="16" t="s">
        <v>22</v>
      </c>
      <c r="B25">
        <v>5</v>
      </c>
    </row>
    <row r="26" spans="1:2" x14ac:dyDescent="0.2">
      <c r="A26" s="16" t="s">
        <v>45</v>
      </c>
      <c r="B26">
        <v>8</v>
      </c>
    </row>
    <row r="27" spans="1:2" x14ac:dyDescent="0.2">
      <c r="A27" s="16" t="s">
        <v>273</v>
      </c>
      <c r="B27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6843-A11A-413A-8D59-AD451EF342EF}">
  <dimension ref="A3:B15"/>
  <sheetViews>
    <sheetView workbookViewId="0">
      <selection activeCell="D10" sqref="D10"/>
    </sheetView>
  </sheetViews>
  <sheetFormatPr defaultRowHeight="12.75" x14ac:dyDescent="0.2"/>
  <cols>
    <col min="1" max="1" width="18.7109375" bestFit="1" customWidth="1"/>
    <col min="2" max="2" width="19.28515625" bestFit="1" customWidth="1"/>
  </cols>
  <sheetData>
    <row r="3" spans="1:2" x14ac:dyDescent="0.2">
      <c r="A3" s="15" t="s">
        <v>272</v>
      </c>
      <c r="B3" t="s">
        <v>501</v>
      </c>
    </row>
    <row r="4" spans="1:2" x14ac:dyDescent="0.2">
      <c r="A4" s="16" t="s">
        <v>91</v>
      </c>
      <c r="B4">
        <v>1</v>
      </c>
    </row>
    <row r="5" spans="1:2" x14ac:dyDescent="0.2">
      <c r="A5" s="16" t="s">
        <v>142</v>
      </c>
      <c r="B5">
        <v>2</v>
      </c>
    </row>
    <row r="6" spans="1:2" x14ac:dyDescent="0.2">
      <c r="A6" s="16" t="s">
        <v>28</v>
      </c>
      <c r="B6">
        <v>59</v>
      </c>
    </row>
    <row r="7" spans="1:2" x14ac:dyDescent="0.2">
      <c r="A7" s="16" t="s">
        <v>233</v>
      </c>
      <c r="B7">
        <v>1</v>
      </c>
    </row>
    <row r="8" spans="1:2" x14ac:dyDescent="0.2">
      <c r="A8" s="16" t="s">
        <v>38</v>
      </c>
      <c r="B8">
        <v>9</v>
      </c>
    </row>
    <row r="9" spans="1:2" x14ac:dyDescent="0.2">
      <c r="A9" s="16" t="s">
        <v>99</v>
      </c>
      <c r="B9">
        <v>1</v>
      </c>
    </row>
    <row r="10" spans="1:2" x14ac:dyDescent="0.2">
      <c r="A10" s="16" t="s">
        <v>95</v>
      </c>
      <c r="B10">
        <v>6</v>
      </c>
    </row>
    <row r="11" spans="1:2" x14ac:dyDescent="0.2">
      <c r="A11" s="16" t="s">
        <v>127</v>
      </c>
      <c r="B11">
        <v>1</v>
      </c>
    </row>
    <row r="12" spans="1:2" x14ac:dyDescent="0.2">
      <c r="A12" s="16" t="s">
        <v>19</v>
      </c>
      <c r="B12">
        <v>3</v>
      </c>
    </row>
    <row r="13" spans="1:2" x14ac:dyDescent="0.2">
      <c r="A13" s="16" t="s">
        <v>11</v>
      </c>
      <c r="B13">
        <v>58</v>
      </c>
    </row>
    <row r="14" spans="1:2" x14ac:dyDescent="0.2">
      <c r="A14" s="16" t="s">
        <v>7</v>
      </c>
      <c r="B14">
        <v>89</v>
      </c>
    </row>
    <row r="15" spans="1:2" x14ac:dyDescent="0.2">
      <c r="A15" s="16" t="s">
        <v>273</v>
      </c>
      <c r="B15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C201-AE4E-4BA8-A454-08F9C8D2C138}">
  <dimension ref="A3:A15"/>
  <sheetViews>
    <sheetView workbookViewId="0">
      <selection activeCell="A4" sqref="A4"/>
    </sheetView>
  </sheetViews>
  <sheetFormatPr defaultRowHeight="12.75" x14ac:dyDescent="0.2"/>
  <cols>
    <col min="1" max="1" width="18.7109375" bestFit="1" customWidth="1"/>
    <col min="2" max="2" width="15" bestFit="1" customWidth="1"/>
  </cols>
  <sheetData>
    <row r="3" spans="1:1" x14ac:dyDescent="0.2">
      <c r="A3" s="15" t="s">
        <v>272</v>
      </c>
    </row>
    <row r="4" spans="1:1" x14ac:dyDescent="0.2">
      <c r="A4" s="16" t="s">
        <v>91</v>
      </c>
    </row>
    <row r="5" spans="1:1" x14ac:dyDescent="0.2">
      <c r="A5" s="16" t="s">
        <v>142</v>
      </c>
    </row>
    <row r="6" spans="1:1" x14ac:dyDescent="0.2">
      <c r="A6" s="16" t="s">
        <v>28</v>
      </c>
    </row>
    <row r="7" spans="1:1" x14ac:dyDescent="0.2">
      <c r="A7" s="16" t="s">
        <v>233</v>
      </c>
    </row>
    <row r="8" spans="1:1" x14ac:dyDescent="0.2">
      <c r="A8" s="16" t="s">
        <v>38</v>
      </c>
    </row>
    <row r="9" spans="1:1" x14ac:dyDescent="0.2">
      <c r="A9" s="16" t="s">
        <v>99</v>
      </c>
    </row>
    <row r="10" spans="1:1" x14ac:dyDescent="0.2">
      <c r="A10" s="16" t="s">
        <v>95</v>
      </c>
    </row>
    <row r="11" spans="1:1" x14ac:dyDescent="0.2">
      <c r="A11" s="16" t="s">
        <v>127</v>
      </c>
    </row>
    <row r="12" spans="1:1" x14ac:dyDescent="0.2">
      <c r="A12" s="16" t="s">
        <v>19</v>
      </c>
    </row>
    <row r="13" spans="1:1" x14ac:dyDescent="0.2">
      <c r="A13" s="16" t="s">
        <v>11</v>
      </c>
    </row>
    <row r="14" spans="1:1" x14ac:dyDescent="0.2">
      <c r="A14" s="16" t="s">
        <v>7</v>
      </c>
    </row>
    <row r="15" spans="1:1" x14ac:dyDescent="0.2">
      <c r="A15" s="16" t="s">
        <v>273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8D12-A31F-4CA0-A694-6A9F72D8C4E8}">
  <dimension ref="A3:C15"/>
  <sheetViews>
    <sheetView workbookViewId="0">
      <selection activeCell="R30" sqref="R30"/>
    </sheetView>
  </sheetViews>
  <sheetFormatPr defaultRowHeight="12.75" x14ac:dyDescent="0.2"/>
  <cols>
    <col min="1" max="1" width="18.7109375" bestFit="1" customWidth="1"/>
    <col min="2" max="2" width="17.5703125" bestFit="1" customWidth="1"/>
    <col min="3" max="3" width="17.7109375" bestFit="1" customWidth="1"/>
  </cols>
  <sheetData>
    <row r="3" spans="1:3" x14ac:dyDescent="0.2">
      <c r="A3" s="15" t="s">
        <v>272</v>
      </c>
      <c r="B3" t="s">
        <v>504</v>
      </c>
      <c r="C3" t="s">
        <v>505</v>
      </c>
    </row>
    <row r="4" spans="1:3" x14ac:dyDescent="0.2">
      <c r="A4" s="16" t="s">
        <v>91</v>
      </c>
      <c r="B4">
        <v>1</v>
      </c>
    </row>
    <row r="5" spans="1:3" x14ac:dyDescent="0.2">
      <c r="A5" s="16" t="s">
        <v>142</v>
      </c>
      <c r="B5">
        <v>2</v>
      </c>
    </row>
    <row r="6" spans="1:3" x14ac:dyDescent="0.2">
      <c r="A6" s="16" t="s">
        <v>28</v>
      </c>
      <c r="B6">
        <v>40</v>
      </c>
      <c r="C6">
        <v>19</v>
      </c>
    </row>
    <row r="7" spans="1:3" x14ac:dyDescent="0.2">
      <c r="A7" s="16" t="s">
        <v>233</v>
      </c>
      <c r="B7">
        <v>1</v>
      </c>
    </row>
    <row r="8" spans="1:3" x14ac:dyDescent="0.2">
      <c r="A8" s="16" t="s">
        <v>38</v>
      </c>
      <c r="B8">
        <v>6</v>
      </c>
      <c r="C8">
        <v>3</v>
      </c>
    </row>
    <row r="9" spans="1:3" x14ac:dyDescent="0.2">
      <c r="A9" s="16" t="s">
        <v>99</v>
      </c>
      <c r="B9">
        <v>1</v>
      </c>
    </row>
    <row r="10" spans="1:3" x14ac:dyDescent="0.2">
      <c r="A10" s="16" t="s">
        <v>95</v>
      </c>
      <c r="B10">
        <v>3</v>
      </c>
      <c r="C10">
        <v>3</v>
      </c>
    </row>
    <row r="11" spans="1:3" x14ac:dyDescent="0.2">
      <c r="A11" s="16" t="s">
        <v>127</v>
      </c>
      <c r="C11">
        <v>1</v>
      </c>
    </row>
    <row r="12" spans="1:3" x14ac:dyDescent="0.2">
      <c r="A12" s="16" t="s">
        <v>19</v>
      </c>
      <c r="B12">
        <v>2</v>
      </c>
      <c r="C12">
        <v>1</v>
      </c>
    </row>
    <row r="13" spans="1:3" x14ac:dyDescent="0.2">
      <c r="A13" s="16" t="s">
        <v>11</v>
      </c>
      <c r="B13">
        <v>36</v>
      </c>
      <c r="C13">
        <v>22</v>
      </c>
    </row>
    <row r="14" spans="1:3" x14ac:dyDescent="0.2">
      <c r="A14" s="16" t="s">
        <v>7</v>
      </c>
      <c r="B14">
        <v>56</v>
      </c>
      <c r="C14">
        <v>33</v>
      </c>
    </row>
    <row r="15" spans="1:3" x14ac:dyDescent="0.2">
      <c r="A15" s="16" t="s">
        <v>273</v>
      </c>
      <c r="B15">
        <v>148</v>
      </c>
      <c r="C15">
        <v>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4"/>
  <sheetViews>
    <sheetView topLeftCell="A211" zoomScaleNormal="100" workbookViewId="0">
      <selection activeCell="E232" sqref="E232:G234"/>
    </sheetView>
  </sheetViews>
  <sheetFormatPr defaultColWidth="12.5703125" defaultRowHeight="15.75" customHeight="1" x14ac:dyDescent="0.2"/>
  <cols>
    <col min="1" max="1" width="18.5703125" customWidth="1"/>
    <col min="2" max="2" width="24" customWidth="1"/>
    <col min="3" max="3" width="15.5703125" customWidth="1"/>
    <col min="4" max="4" width="11.5703125" customWidth="1"/>
    <col min="5" max="5" width="9.28515625" customWidth="1"/>
    <col min="6" max="6" width="8.28515625" customWidth="1"/>
    <col min="7" max="7" width="29.42578125" customWidth="1"/>
  </cols>
  <sheetData>
    <row r="1" spans="1:8" ht="12.7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502</v>
      </c>
      <c r="H1" s="1" t="s">
        <v>503</v>
      </c>
    </row>
    <row r="2" spans="1:8" ht="15" x14ac:dyDescent="0.25">
      <c r="A2" s="2">
        <v>1</v>
      </c>
      <c r="B2" s="3" t="s">
        <v>5</v>
      </c>
      <c r="C2" s="4" t="s">
        <v>6</v>
      </c>
      <c r="D2" s="4" t="s">
        <v>7</v>
      </c>
      <c r="E2" s="3" t="s">
        <v>8</v>
      </c>
      <c r="F2" s="5">
        <v>46</v>
      </c>
      <c r="H2" s="19">
        <v>1</v>
      </c>
    </row>
    <row r="3" spans="1:8" ht="15" x14ac:dyDescent="0.25">
      <c r="A3" s="2">
        <v>2</v>
      </c>
      <c r="B3" s="6" t="s">
        <v>9</v>
      </c>
      <c r="C3" s="4" t="s">
        <v>10</v>
      </c>
      <c r="D3" s="4" t="s">
        <v>11</v>
      </c>
      <c r="E3" s="3" t="s">
        <v>8</v>
      </c>
      <c r="F3" s="5">
        <v>50</v>
      </c>
      <c r="H3" s="19">
        <v>1</v>
      </c>
    </row>
    <row r="4" spans="1:8" ht="15" x14ac:dyDescent="0.25">
      <c r="A4" s="2">
        <v>3</v>
      </c>
      <c r="B4" s="6" t="s">
        <v>12</v>
      </c>
      <c r="C4" s="4" t="s">
        <v>13</v>
      </c>
      <c r="D4" s="4" t="s">
        <v>7</v>
      </c>
      <c r="E4" s="3" t="s">
        <v>14</v>
      </c>
      <c r="F4" s="5">
        <v>53</v>
      </c>
      <c r="G4" s="20">
        <v>1</v>
      </c>
    </row>
    <row r="5" spans="1:8" ht="15" x14ac:dyDescent="0.25">
      <c r="A5" s="2">
        <v>4</v>
      </c>
      <c r="B5" s="6" t="s">
        <v>15</v>
      </c>
      <c r="C5" s="4" t="s">
        <v>13</v>
      </c>
      <c r="D5" s="4" t="s">
        <v>7</v>
      </c>
      <c r="E5" s="3" t="s">
        <v>14</v>
      </c>
      <c r="F5" s="5">
        <v>48</v>
      </c>
      <c r="G5" s="20">
        <v>1</v>
      </c>
    </row>
    <row r="6" spans="1:8" ht="15" x14ac:dyDescent="0.25">
      <c r="A6" s="2">
        <v>5</v>
      </c>
      <c r="B6" s="6" t="s">
        <v>16</v>
      </c>
      <c r="C6" s="4" t="s">
        <v>17</v>
      </c>
      <c r="D6" s="4" t="s">
        <v>7</v>
      </c>
      <c r="E6" s="3" t="s">
        <v>14</v>
      </c>
      <c r="F6" s="5">
        <v>34</v>
      </c>
      <c r="G6" s="20">
        <v>1</v>
      </c>
    </row>
    <row r="7" spans="1:8" ht="15" x14ac:dyDescent="0.25">
      <c r="A7" s="2">
        <v>6</v>
      </c>
      <c r="B7" s="6" t="s">
        <v>18</v>
      </c>
      <c r="C7" s="4" t="s">
        <v>13</v>
      </c>
      <c r="D7" s="4" t="s">
        <v>19</v>
      </c>
      <c r="E7" s="3" t="s">
        <v>14</v>
      </c>
      <c r="F7" s="5">
        <v>64</v>
      </c>
      <c r="G7" s="20">
        <v>1</v>
      </c>
    </row>
    <row r="8" spans="1:8" ht="15" x14ac:dyDescent="0.25">
      <c r="A8" s="2">
        <v>7</v>
      </c>
      <c r="B8" s="6" t="s">
        <v>20</v>
      </c>
      <c r="C8" s="4" t="s">
        <v>6</v>
      </c>
      <c r="D8" s="4" t="s">
        <v>7</v>
      </c>
      <c r="E8" s="3" t="s">
        <v>14</v>
      </c>
      <c r="F8" s="5">
        <v>52</v>
      </c>
      <c r="G8" s="20">
        <v>1</v>
      </c>
    </row>
    <row r="9" spans="1:8" ht="15" x14ac:dyDescent="0.25">
      <c r="A9" s="2">
        <v>8</v>
      </c>
      <c r="B9" s="6" t="s">
        <v>21</v>
      </c>
      <c r="C9" s="4" t="s">
        <v>22</v>
      </c>
      <c r="D9" s="4" t="s">
        <v>7</v>
      </c>
      <c r="E9" s="3" t="s">
        <v>14</v>
      </c>
      <c r="F9" s="3">
        <v>61</v>
      </c>
      <c r="G9" s="20">
        <v>1</v>
      </c>
    </row>
    <row r="10" spans="1:8" ht="15" x14ac:dyDescent="0.25">
      <c r="A10" s="2">
        <v>9</v>
      </c>
      <c r="B10" s="6" t="s">
        <v>23</v>
      </c>
      <c r="C10" s="4" t="s">
        <v>17</v>
      </c>
      <c r="D10" s="4" t="s">
        <v>11</v>
      </c>
      <c r="E10" s="3" t="s">
        <v>8</v>
      </c>
      <c r="F10" s="5">
        <v>58</v>
      </c>
      <c r="H10" s="19">
        <v>1</v>
      </c>
    </row>
    <row r="11" spans="1:8" ht="15" x14ac:dyDescent="0.25">
      <c r="A11" s="2">
        <v>10</v>
      </c>
      <c r="B11" s="6" t="s">
        <v>24</v>
      </c>
      <c r="C11" s="4" t="s">
        <v>13</v>
      </c>
      <c r="D11" s="4" t="s">
        <v>7</v>
      </c>
      <c r="E11" s="3" t="s">
        <v>8</v>
      </c>
      <c r="F11" s="5">
        <v>29</v>
      </c>
      <c r="H11" s="19">
        <v>1</v>
      </c>
    </row>
    <row r="12" spans="1:8" ht="15" x14ac:dyDescent="0.25">
      <c r="A12" s="2">
        <v>11</v>
      </c>
      <c r="B12" s="6" t="s">
        <v>25</v>
      </c>
      <c r="C12" s="4" t="s">
        <v>13</v>
      </c>
      <c r="D12" s="4" t="s">
        <v>7</v>
      </c>
      <c r="E12" s="3" t="s">
        <v>8</v>
      </c>
      <c r="F12" s="5">
        <v>47</v>
      </c>
      <c r="H12" s="19">
        <v>1</v>
      </c>
    </row>
    <row r="13" spans="1:8" ht="15" x14ac:dyDescent="0.25">
      <c r="A13" s="2">
        <v>12</v>
      </c>
      <c r="B13" s="6" t="s">
        <v>26</v>
      </c>
      <c r="C13" s="4" t="s">
        <v>27</v>
      </c>
      <c r="D13" s="4" t="s">
        <v>28</v>
      </c>
      <c r="E13" s="3" t="s">
        <v>8</v>
      </c>
      <c r="F13" s="5">
        <v>48</v>
      </c>
      <c r="H13" s="19">
        <v>1</v>
      </c>
    </row>
    <row r="14" spans="1:8" ht="15" x14ac:dyDescent="0.25">
      <c r="A14" s="2">
        <v>13</v>
      </c>
      <c r="B14" s="6" t="s">
        <v>29</v>
      </c>
      <c r="C14" s="4" t="s">
        <v>30</v>
      </c>
      <c r="D14" s="4" t="s">
        <v>7</v>
      </c>
      <c r="E14" s="3" t="s">
        <v>8</v>
      </c>
      <c r="F14" s="5">
        <v>42</v>
      </c>
      <c r="H14" s="19">
        <v>1</v>
      </c>
    </row>
    <row r="15" spans="1:8" ht="15" x14ac:dyDescent="0.25">
      <c r="A15" s="2">
        <v>14</v>
      </c>
      <c r="B15" s="6" t="s">
        <v>31</v>
      </c>
      <c r="C15" s="4" t="s">
        <v>22</v>
      </c>
      <c r="D15" s="4" t="s">
        <v>7</v>
      </c>
      <c r="E15" s="3" t="s">
        <v>8</v>
      </c>
      <c r="F15" s="5">
        <v>55</v>
      </c>
      <c r="H15" s="19">
        <v>1</v>
      </c>
    </row>
    <row r="16" spans="1:8" ht="15" x14ac:dyDescent="0.25">
      <c r="A16" s="2">
        <v>15</v>
      </c>
      <c r="B16" s="6" t="s">
        <v>32</v>
      </c>
      <c r="C16" s="4" t="s">
        <v>33</v>
      </c>
      <c r="D16" s="4" t="s">
        <v>11</v>
      </c>
      <c r="E16" s="3" t="s">
        <v>14</v>
      </c>
      <c r="F16" s="5">
        <v>42</v>
      </c>
      <c r="G16" s="20">
        <v>1</v>
      </c>
    </row>
    <row r="17" spans="1:8" ht="15" x14ac:dyDescent="0.25">
      <c r="A17" s="2">
        <v>16</v>
      </c>
      <c r="B17" s="6" t="s">
        <v>34</v>
      </c>
      <c r="C17" s="4" t="s">
        <v>17</v>
      </c>
      <c r="D17" s="4" t="s">
        <v>11</v>
      </c>
      <c r="E17" s="3" t="s">
        <v>14</v>
      </c>
      <c r="F17" s="5">
        <v>42</v>
      </c>
      <c r="G17" s="20">
        <v>1</v>
      </c>
    </row>
    <row r="18" spans="1:8" ht="15" x14ac:dyDescent="0.25">
      <c r="A18" s="2">
        <v>17</v>
      </c>
      <c r="B18" s="6" t="s">
        <v>35</v>
      </c>
      <c r="C18" s="4" t="s">
        <v>17</v>
      </c>
      <c r="D18" s="4" t="s">
        <v>28</v>
      </c>
      <c r="E18" s="3" t="s">
        <v>14</v>
      </c>
      <c r="F18" s="5">
        <v>43</v>
      </c>
      <c r="G18" s="20">
        <v>1</v>
      </c>
    </row>
    <row r="19" spans="1:8" ht="15" x14ac:dyDescent="0.25">
      <c r="A19" s="2">
        <v>18</v>
      </c>
      <c r="B19" s="6" t="s">
        <v>36</v>
      </c>
      <c r="C19" s="4" t="s">
        <v>13</v>
      </c>
      <c r="D19" s="4" t="s">
        <v>7</v>
      </c>
      <c r="E19" s="3" t="s">
        <v>8</v>
      </c>
      <c r="F19" s="5">
        <v>46</v>
      </c>
      <c r="H19" s="19">
        <v>1</v>
      </c>
    </row>
    <row r="20" spans="1:8" ht="15" x14ac:dyDescent="0.25">
      <c r="A20" s="2">
        <v>19</v>
      </c>
      <c r="B20" s="6" t="s">
        <v>37</v>
      </c>
      <c r="C20" s="4" t="s">
        <v>17</v>
      </c>
      <c r="D20" s="4" t="s">
        <v>38</v>
      </c>
      <c r="E20" s="3" t="s">
        <v>8</v>
      </c>
      <c r="F20" s="5">
        <v>49</v>
      </c>
      <c r="H20" s="19">
        <v>1</v>
      </c>
    </row>
    <row r="21" spans="1:8" ht="15" x14ac:dyDescent="0.25">
      <c r="A21" s="2">
        <v>20</v>
      </c>
      <c r="B21" s="6" t="s">
        <v>39</v>
      </c>
      <c r="C21" s="4" t="s">
        <v>40</v>
      </c>
      <c r="D21" s="4" t="s">
        <v>28</v>
      </c>
      <c r="E21" s="3" t="s">
        <v>14</v>
      </c>
      <c r="F21" s="5">
        <v>57</v>
      </c>
      <c r="G21" s="20">
        <v>1</v>
      </c>
    </row>
    <row r="22" spans="1:8" ht="15" x14ac:dyDescent="0.25">
      <c r="A22" s="2">
        <v>21</v>
      </c>
      <c r="B22" s="6" t="s">
        <v>41</v>
      </c>
      <c r="C22" s="4" t="s">
        <v>33</v>
      </c>
      <c r="D22" s="4" t="s">
        <v>11</v>
      </c>
      <c r="E22" s="3" t="s">
        <v>14</v>
      </c>
      <c r="F22" s="5">
        <v>50</v>
      </c>
      <c r="G22" s="20">
        <v>1</v>
      </c>
    </row>
    <row r="23" spans="1:8" ht="15" x14ac:dyDescent="0.25">
      <c r="A23" s="2">
        <v>22</v>
      </c>
      <c r="B23" s="6" t="s">
        <v>42</v>
      </c>
      <c r="C23" s="4" t="s">
        <v>17</v>
      </c>
      <c r="D23" s="4" t="s">
        <v>7</v>
      </c>
      <c r="E23" s="3" t="s">
        <v>14</v>
      </c>
      <c r="F23" s="5">
        <v>68</v>
      </c>
      <c r="G23" s="20">
        <v>1</v>
      </c>
    </row>
    <row r="24" spans="1:8" ht="15" x14ac:dyDescent="0.25">
      <c r="A24" s="2">
        <v>23</v>
      </c>
      <c r="B24" s="6" t="s">
        <v>43</v>
      </c>
      <c r="C24" s="4" t="s">
        <v>6</v>
      </c>
      <c r="D24" s="4" t="s">
        <v>28</v>
      </c>
      <c r="E24" s="3" t="s">
        <v>14</v>
      </c>
      <c r="F24" s="5">
        <v>70</v>
      </c>
      <c r="G24" s="20">
        <v>1</v>
      </c>
    </row>
    <row r="25" spans="1:8" ht="15" x14ac:dyDescent="0.25">
      <c r="A25" s="2">
        <v>24</v>
      </c>
      <c r="B25" s="6" t="s">
        <v>44</v>
      </c>
      <c r="C25" s="4" t="s">
        <v>45</v>
      </c>
      <c r="D25" s="4" t="s">
        <v>11</v>
      </c>
      <c r="E25" s="3" t="s">
        <v>14</v>
      </c>
      <c r="F25" s="5">
        <v>57</v>
      </c>
      <c r="G25" s="20">
        <v>1</v>
      </c>
    </row>
    <row r="26" spans="1:8" ht="15" x14ac:dyDescent="0.25">
      <c r="A26" s="2">
        <v>25</v>
      </c>
      <c r="B26" s="6" t="s">
        <v>46</v>
      </c>
      <c r="C26" s="4" t="s">
        <v>47</v>
      </c>
      <c r="D26" s="4" t="s">
        <v>7</v>
      </c>
      <c r="E26" s="3" t="s">
        <v>8</v>
      </c>
      <c r="F26" s="5">
        <v>34</v>
      </c>
      <c r="H26" s="19">
        <v>1</v>
      </c>
    </row>
    <row r="27" spans="1:8" ht="15" x14ac:dyDescent="0.25">
      <c r="A27" s="2">
        <v>26</v>
      </c>
      <c r="B27" s="6" t="s">
        <v>48</v>
      </c>
      <c r="C27" s="4" t="s">
        <v>45</v>
      </c>
      <c r="D27" s="4" t="s">
        <v>28</v>
      </c>
      <c r="E27" s="3" t="s">
        <v>14</v>
      </c>
      <c r="F27" s="5">
        <v>43</v>
      </c>
      <c r="G27" s="20">
        <v>1</v>
      </c>
    </row>
    <row r="28" spans="1:8" ht="15" x14ac:dyDescent="0.25">
      <c r="A28" s="2">
        <v>27</v>
      </c>
      <c r="B28" s="6" t="s">
        <v>49</v>
      </c>
      <c r="C28" s="4" t="s">
        <v>45</v>
      </c>
      <c r="D28" s="4" t="s">
        <v>7</v>
      </c>
      <c r="E28" s="3" t="s">
        <v>14</v>
      </c>
      <c r="F28" s="5">
        <v>30</v>
      </c>
      <c r="G28" s="20">
        <v>1</v>
      </c>
    </row>
    <row r="29" spans="1:8" ht="15" x14ac:dyDescent="0.25">
      <c r="A29" s="2">
        <v>28</v>
      </c>
      <c r="B29" s="6" t="s">
        <v>50</v>
      </c>
      <c r="C29" s="4" t="s">
        <v>17</v>
      </c>
      <c r="D29" s="4" t="s">
        <v>28</v>
      </c>
      <c r="E29" s="3" t="s">
        <v>14</v>
      </c>
      <c r="F29" s="5">
        <v>50</v>
      </c>
      <c r="G29" s="20">
        <v>1</v>
      </c>
    </row>
    <row r="30" spans="1:8" ht="15" x14ac:dyDescent="0.25">
      <c r="A30" s="2">
        <v>29</v>
      </c>
      <c r="B30" s="6" t="s">
        <v>51</v>
      </c>
      <c r="C30" s="4" t="s">
        <v>17</v>
      </c>
      <c r="D30" s="4" t="s">
        <v>7</v>
      </c>
      <c r="E30" s="3" t="s">
        <v>14</v>
      </c>
      <c r="F30" s="5">
        <v>46</v>
      </c>
      <c r="G30" s="20">
        <v>1</v>
      </c>
    </row>
    <row r="31" spans="1:8" ht="15" x14ac:dyDescent="0.25">
      <c r="A31" s="2">
        <v>30</v>
      </c>
      <c r="B31" s="6" t="s">
        <v>52</v>
      </c>
      <c r="C31" s="4" t="s">
        <v>33</v>
      </c>
      <c r="D31" s="4" t="s">
        <v>7</v>
      </c>
      <c r="E31" s="3" t="s">
        <v>14</v>
      </c>
      <c r="F31" s="5">
        <v>55</v>
      </c>
      <c r="G31" s="20">
        <v>1</v>
      </c>
    </row>
    <row r="32" spans="1:8" ht="15" x14ac:dyDescent="0.25">
      <c r="A32" s="2">
        <v>31</v>
      </c>
      <c r="B32" s="6" t="s">
        <v>53</v>
      </c>
      <c r="C32" s="4" t="s">
        <v>13</v>
      </c>
      <c r="D32" s="4" t="s">
        <v>7</v>
      </c>
      <c r="E32" s="3" t="s">
        <v>8</v>
      </c>
      <c r="F32" s="5">
        <v>46</v>
      </c>
      <c r="H32" s="19">
        <v>1</v>
      </c>
    </row>
    <row r="33" spans="1:8" ht="15" x14ac:dyDescent="0.25">
      <c r="A33" s="2">
        <v>32</v>
      </c>
      <c r="B33" s="6" t="s">
        <v>54</v>
      </c>
      <c r="C33" s="4" t="s">
        <v>55</v>
      </c>
      <c r="D33" s="4" t="s">
        <v>7</v>
      </c>
      <c r="E33" s="3" t="s">
        <v>14</v>
      </c>
      <c r="F33" s="5">
        <v>65</v>
      </c>
      <c r="G33" s="20">
        <v>1</v>
      </c>
    </row>
    <row r="34" spans="1:8" ht="15" x14ac:dyDescent="0.25">
      <c r="A34" s="2">
        <v>33</v>
      </c>
      <c r="B34" s="6" t="s">
        <v>56</v>
      </c>
      <c r="C34" s="4" t="s">
        <v>57</v>
      </c>
      <c r="D34" s="4" t="s">
        <v>28</v>
      </c>
      <c r="E34" s="3" t="s">
        <v>14</v>
      </c>
      <c r="F34" s="5">
        <v>45</v>
      </c>
      <c r="G34" s="20">
        <v>1</v>
      </c>
    </row>
    <row r="35" spans="1:8" ht="15" x14ac:dyDescent="0.25">
      <c r="A35" s="2">
        <v>34</v>
      </c>
      <c r="B35" s="6" t="s">
        <v>58</v>
      </c>
      <c r="C35" s="4" t="s">
        <v>57</v>
      </c>
      <c r="D35" s="4" t="s">
        <v>7</v>
      </c>
      <c r="E35" s="3" t="s">
        <v>14</v>
      </c>
      <c r="F35" s="5">
        <v>41</v>
      </c>
      <c r="G35" s="20">
        <v>1</v>
      </c>
    </row>
    <row r="36" spans="1:8" ht="15" x14ac:dyDescent="0.25">
      <c r="A36" s="2">
        <v>35</v>
      </c>
      <c r="B36" s="6" t="s">
        <v>59</v>
      </c>
      <c r="C36" s="4" t="s">
        <v>13</v>
      </c>
      <c r="D36" s="4" t="s">
        <v>38</v>
      </c>
      <c r="E36" s="3" t="s">
        <v>14</v>
      </c>
      <c r="F36" s="5">
        <v>43</v>
      </c>
      <c r="G36" s="20">
        <v>1</v>
      </c>
    </row>
    <row r="37" spans="1:8" ht="15" x14ac:dyDescent="0.25">
      <c r="A37" s="2">
        <v>36</v>
      </c>
      <c r="B37" s="6" t="s">
        <v>60</v>
      </c>
      <c r="C37" s="4" t="s">
        <v>33</v>
      </c>
      <c r="D37" s="4" t="s">
        <v>11</v>
      </c>
      <c r="E37" s="3" t="s">
        <v>14</v>
      </c>
      <c r="F37" s="5">
        <v>57</v>
      </c>
      <c r="G37" s="20">
        <v>1</v>
      </c>
    </row>
    <row r="38" spans="1:8" ht="15" x14ac:dyDescent="0.25">
      <c r="A38" s="2">
        <v>37</v>
      </c>
      <c r="B38" s="6" t="s">
        <v>61</v>
      </c>
      <c r="C38" s="4" t="s">
        <v>45</v>
      </c>
      <c r="D38" s="4" t="s">
        <v>7</v>
      </c>
      <c r="E38" s="3" t="s">
        <v>14</v>
      </c>
      <c r="F38" s="5">
        <v>49</v>
      </c>
      <c r="G38" s="20">
        <v>1</v>
      </c>
    </row>
    <row r="39" spans="1:8" ht="15" x14ac:dyDescent="0.25">
      <c r="A39" s="2">
        <v>38</v>
      </c>
      <c r="B39" s="6" t="s">
        <v>62</v>
      </c>
      <c r="C39" s="4" t="s">
        <v>6</v>
      </c>
      <c r="D39" s="4" t="s">
        <v>7</v>
      </c>
      <c r="E39" s="3" t="s">
        <v>8</v>
      </c>
      <c r="F39" s="5">
        <v>29</v>
      </c>
      <c r="H39" s="19">
        <v>1</v>
      </c>
    </row>
    <row r="40" spans="1:8" ht="15" x14ac:dyDescent="0.25">
      <c r="A40" s="2">
        <v>39</v>
      </c>
      <c r="B40" s="6" t="s">
        <v>63</v>
      </c>
      <c r="C40" s="4" t="s">
        <v>64</v>
      </c>
      <c r="D40" s="4" t="s">
        <v>11</v>
      </c>
      <c r="E40" s="3" t="s">
        <v>8</v>
      </c>
      <c r="F40" s="5">
        <v>43</v>
      </c>
      <c r="H40" s="19">
        <v>1</v>
      </c>
    </row>
    <row r="41" spans="1:8" ht="15" x14ac:dyDescent="0.25">
      <c r="A41" s="2">
        <v>40</v>
      </c>
      <c r="B41" s="6" t="s">
        <v>65</v>
      </c>
      <c r="C41" s="4" t="s">
        <v>66</v>
      </c>
      <c r="D41" s="4" t="s">
        <v>28</v>
      </c>
      <c r="E41" s="3" t="s">
        <v>8</v>
      </c>
      <c r="F41" s="5">
        <v>62</v>
      </c>
      <c r="H41" s="19">
        <v>1</v>
      </c>
    </row>
    <row r="42" spans="1:8" ht="15" x14ac:dyDescent="0.25">
      <c r="A42" s="2">
        <v>41</v>
      </c>
      <c r="B42" s="6" t="s">
        <v>67</v>
      </c>
      <c r="C42" s="4" t="s">
        <v>64</v>
      </c>
      <c r="D42" s="4" t="s">
        <v>7</v>
      </c>
      <c r="E42" s="3" t="s">
        <v>8</v>
      </c>
      <c r="F42" s="5">
        <v>53</v>
      </c>
      <c r="H42" s="19">
        <v>1</v>
      </c>
    </row>
    <row r="43" spans="1:8" ht="15" x14ac:dyDescent="0.25">
      <c r="A43" s="2">
        <v>42</v>
      </c>
      <c r="B43" s="6" t="s">
        <v>68</v>
      </c>
      <c r="C43" s="4" t="s">
        <v>33</v>
      </c>
      <c r="D43" s="4" t="s">
        <v>28</v>
      </c>
      <c r="E43" s="3" t="s">
        <v>8</v>
      </c>
      <c r="F43" s="5">
        <v>52</v>
      </c>
      <c r="H43" s="19">
        <v>1</v>
      </c>
    </row>
    <row r="44" spans="1:8" ht="15" x14ac:dyDescent="0.25">
      <c r="A44" s="2">
        <v>43</v>
      </c>
      <c r="B44" s="6" t="s">
        <v>69</v>
      </c>
      <c r="C44" s="4" t="s">
        <v>13</v>
      </c>
      <c r="D44" s="4" t="s">
        <v>28</v>
      </c>
      <c r="E44" s="3" t="s">
        <v>8</v>
      </c>
      <c r="F44" s="5">
        <v>41</v>
      </c>
      <c r="H44" s="19">
        <v>1</v>
      </c>
    </row>
    <row r="45" spans="1:8" ht="15" x14ac:dyDescent="0.25">
      <c r="A45" s="2">
        <v>44</v>
      </c>
      <c r="B45" s="6" t="s">
        <v>70</v>
      </c>
      <c r="C45" s="4" t="s">
        <v>64</v>
      </c>
      <c r="D45" s="4" t="s">
        <v>28</v>
      </c>
      <c r="E45" s="3" t="s">
        <v>8</v>
      </c>
      <c r="F45" s="5">
        <v>63</v>
      </c>
      <c r="H45" s="19">
        <v>1</v>
      </c>
    </row>
    <row r="46" spans="1:8" ht="15" x14ac:dyDescent="0.25">
      <c r="A46" s="2">
        <v>45</v>
      </c>
      <c r="B46" s="6" t="s">
        <v>71</v>
      </c>
      <c r="C46" s="4" t="s">
        <v>47</v>
      </c>
      <c r="D46" s="4" t="s">
        <v>7</v>
      </c>
      <c r="E46" s="3" t="s">
        <v>14</v>
      </c>
      <c r="F46" s="5">
        <v>50</v>
      </c>
      <c r="G46" s="20">
        <v>1</v>
      </c>
    </row>
    <row r="47" spans="1:8" ht="15" x14ac:dyDescent="0.25">
      <c r="A47" s="2">
        <v>46</v>
      </c>
      <c r="B47" s="6" t="s">
        <v>72</v>
      </c>
      <c r="C47" s="4" t="s">
        <v>13</v>
      </c>
      <c r="D47" s="4" t="s">
        <v>11</v>
      </c>
      <c r="E47" s="3" t="s">
        <v>8</v>
      </c>
      <c r="F47" s="5">
        <v>49</v>
      </c>
      <c r="H47" s="19">
        <v>1</v>
      </c>
    </row>
    <row r="48" spans="1:8" ht="15" x14ac:dyDescent="0.25">
      <c r="A48" s="2">
        <v>47</v>
      </c>
      <c r="B48" s="6" t="s">
        <v>73</v>
      </c>
      <c r="C48" s="4" t="s">
        <v>33</v>
      </c>
      <c r="D48" s="4" t="s">
        <v>28</v>
      </c>
      <c r="E48" s="3" t="s">
        <v>14</v>
      </c>
      <c r="F48" s="5">
        <v>31</v>
      </c>
      <c r="G48" s="20">
        <v>1</v>
      </c>
    </row>
    <row r="49" spans="1:8" ht="15" x14ac:dyDescent="0.25">
      <c r="A49" s="2">
        <v>48</v>
      </c>
      <c r="B49" s="6" t="s">
        <v>74</v>
      </c>
      <c r="C49" s="4" t="s">
        <v>17</v>
      </c>
      <c r="D49" s="4" t="s">
        <v>11</v>
      </c>
      <c r="E49" s="3" t="s">
        <v>14</v>
      </c>
      <c r="F49" s="5">
        <v>47</v>
      </c>
      <c r="G49" s="20">
        <v>1</v>
      </c>
    </row>
    <row r="50" spans="1:8" ht="15" x14ac:dyDescent="0.25">
      <c r="A50" s="2">
        <v>49</v>
      </c>
      <c r="B50" s="6" t="s">
        <v>75</v>
      </c>
      <c r="C50" s="4" t="s">
        <v>13</v>
      </c>
      <c r="D50" s="4" t="s">
        <v>28</v>
      </c>
      <c r="E50" s="3" t="s">
        <v>14</v>
      </c>
      <c r="F50" s="5">
        <v>77</v>
      </c>
      <c r="G50" s="20">
        <v>1</v>
      </c>
    </row>
    <row r="51" spans="1:8" ht="15" x14ac:dyDescent="0.25">
      <c r="A51" s="2">
        <v>50</v>
      </c>
      <c r="B51" s="6" t="s">
        <v>76</v>
      </c>
      <c r="C51" s="4" t="s">
        <v>10</v>
      </c>
      <c r="D51" s="4" t="s">
        <v>7</v>
      </c>
      <c r="E51" s="3" t="s">
        <v>8</v>
      </c>
      <c r="F51" s="5">
        <v>46</v>
      </c>
      <c r="H51" s="19">
        <v>1</v>
      </c>
    </row>
    <row r="52" spans="1:8" ht="15" x14ac:dyDescent="0.25">
      <c r="A52" s="2">
        <v>51</v>
      </c>
      <c r="B52" s="6" t="s">
        <v>77</v>
      </c>
      <c r="C52" s="4" t="s">
        <v>17</v>
      </c>
      <c r="D52" s="4" t="s">
        <v>11</v>
      </c>
      <c r="E52" s="3" t="s">
        <v>8</v>
      </c>
      <c r="F52" s="5">
        <v>54</v>
      </c>
      <c r="H52" s="19">
        <v>1</v>
      </c>
    </row>
    <row r="53" spans="1:8" ht="15" x14ac:dyDescent="0.25">
      <c r="A53" s="2">
        <v>52</v>
      </c>
      <c r="B53" s="6" t="s">
        <v>78</v>
      </c>
      <c r="C53" s="4" t="s">
        <v>13</v>
      </c>
      <c r="D53" s="4" t="s">
        <v>11</v>
      </c>
      <c r="E53" s="3" t="s">
        <v>14</v>
      </c>
      <c r="F53" s="5">
        <v>52</v>
      </c>
      <c r="G53" s="20">
        <v>1</v>
      </c>
    </row>
    <row r="54" spans="1:8" ht="15" x14ac:dyDescent="0.25">
      <c r="A54" s="2">
        <v>53</v>
      </c>
      <c r="B54" s="6" t="s">
        <v>79</v>
      </c>
      <c r="C54" s="4" t="s">
        <v>80</v>
      </c>
      <c r="D54" s="4" t="s">
        <v>28</v>
      </c>
      <c r="E54" s="3" t="s">
        <v>14</v>
      </c>
      <c r="F54" s="5">
        <v>68</v>
      </c>
      <c r="G54" s="20">
        <v>1</v>
      </c>
    </row>
    <row r="55" spans="1:8" ht="15" x14ac:dyDescent="0.25">
      <c r="A55" s="2">
        <v>54</v>
      </c>
      <c r="B55" s="6" t="s">
        <v>81</v>
      </c>
      <c r="C55" s="4" t="s">
        <v>30</v>
      </c>
      <c r="D55" s="4" t="s">
        <v>28</v>
      </c>
      <c r="E55" s="3" t="s">
        <v>14</v>
      </c>
      <c r="F55" s="5">
        <v>66</v>
      </c>
      <c r="G55" s="20">
        <v>1</v>
      </c>
    </row>
    <row r="56" spans="1:8" ht="15" x14ac:dyDescent="0.25">
      <c r="A56" s="2">
        <v>55</v>
      </c>
      <c r="B56" s="6" t="s">
        <v>82</v>
      </c>
      <c r="C56" s="4" t="s">
        <v>45</v>
      </c>
      <c r="D56" s="4" t="s">
        <v>11</v>
      </c>
      <c r="E56" s="3" t="s">
        <v>8</v>
      </c>
      <c r="F56" s="5">
        <v>61</v>
      </c>
      <c r="H56" s="19">
        <v>1</v>
      </c>
    </row>
    <row r="57" spans="1:8" ht="15" x14ac:dyDescent="0.25">
      <c r="A57" s="2">
        <v>56</v>
      </c>
      <c r="B57" s="6" t="s">
        <v>83</v>
      </c>
      <c r="C57" s="4" t="s">
        <v>84</v>
      </c>
      <c r="D57" s="4" t="s">
        <v>11</v>
      </c>
      <c r="E57" s="3" t="s">
        <v>14</v>
      </c>
      <c r="F57" s="5">
        <v>54</v>
      </c>
      <c r="G57" s="20">
        <v>1</v>
      </c>
    </row>
    <row r="58" spans="1:8" ht="15" x14ac:dyDescent="0.25">
      <c r="A58" s="2">
        <v>57</v>
      </c>
      <c r="B58" s="6" t="s">
        <v>85</v>
      </c>
      <c r="C58" s="4" t="s">
        <v>57</v>
      </c>
      <c r="D58" s="4" t="s">
        <v>7</v>
      </c>
      <c r="E58" s="3" t="s">
        <v>14</v>
      </c>
      <c r="F58" s="5">
        <v>64</v>
      </c>
      <c r="G58" s="20">
        <v>1</v>
      </c>
    </row>
    <row r="59" spans="1:8" ht="15" x14ac:dyDescent="0.25">
      <c r="A59" s="2">
        <v>58</v>
      </c>
      <c r="B59" s="6" t="s">
        <v>86</v>
      </c>
      <c r="C59" s="4" t="s">
        <v>64</v>
      </c>
      <c r="D59" s="4" t="s">
        <v>11</v>
      </c>
      <c r="E59" s="3" t="s">
        <v>14</v>
      </c>
      <c r="F59" s="5">
        <v>27</v>
      </c>
      <c r="G59" s="20">
        <v>1</v>
      </c>
    </row>
    <row r="60" spans="1:8" ht="15" x14ac:dyDescent="0.25">
      <c r="A60" s="2">
        <v>59</v>
      </c>
      <c r="B60" s="6" t="s">
        <v>87</v>
      </c>
      <c r="C60" s="4" t="s">
        <v>33</v>
      </c>
      <c r="D60" s="4" t="s">
        <v>11</v>
      </c>
      <c r="E60" s="3" t="s">
        <v>8</v>
      </c>
      <c r="F60" s="5">
        <v>47</v>
      </c>
      <c r="H60" s="19">
        <v>1</v>
      </c>
    </row>
    <row r="61" spans="1:8" ht="15" x14ac:dyDescent="0.25">
      <c r="A61" s="2">
        <v>60</v>
      </c>
      <c r="B61" s="6" t="s">
        <v>88</v>
      </c>
      <c r="C61" s="4" t="s">
        <v>17</v>
      </c>
      <c r="D61" s="4" t="s">
        <v>7</v>
      </c>
      <c r="E61" s="3" t="s">
        <v>8</v>
      </c>
      <c r="F61" s="5">
        <v>77</v>
      </c>
      <c r="H61" s="19">
        <v>1</v>
      </c>
    </row>
    <row r="62" spans="1:8" ht="15" x14ac:dyDescent="0.25">
      <c r="A62" s="2">
        <v>61</v>
      </c>
      <c r="B62" s="6" t="s">
        <v>89</v>
      </c>
      <c r="C62" s="4" t="s">
        <v>17</v>
      </c>
      <c r="D62" s="4" t="s">
        <v>11</v>
      </c>
      <c r="E62" s="3" t="s">
        <v>8</v>
      </c>
      <c r="F62" s="5">
        <v>38</v>
      </c>
      <c r="H62" s="19">
        <v>1</v>
      </c>
    </row>
    <row r="63" spans="1:8" ht="15" x14ac:dyDescent="0.25">
      <c r="A63" s="2">
        <v>62</v>
      </c>
      <c r="B63" s="6" t="s">
        <v>90</v>
      </c>
      <c r="C63" s="3" t="s">
        <v>17</v>
      </c>
      <c r="D63" s="4" t="s">
        <v>91</v>
      </c>
      <c r="E63" s="3" t="s">
        <v>14</v>
      </c>
      <c r="F63" s="5">
        <v>37</v>
      </c>
      <c r="G63" s="20">
        <v>1</v>
      </c>
    </row>
    <row r="64" spans="1:8" ht="15" x14ac:dyDescent="0.25">
      <c r="A64" s="2">
        <v>63</v>
      </c>
      <c r="B64" s="7" t="s">
        <v>92</v>
      </c>
      <c r="C64" s="4" t="s">
        <v>17</v>
      </c>
      <c r="D64" s="4" t="s">
        <v>28</v>
      </c>
      <c r="E64" s="3" t="s">
        <v>8</v>
      </c>
      <c r="F64" s="5">
        <v>61</v>
      </c>
      <c r="H64" s="19">
        <v>1</v>
      </c>
    </row>
    <row r="65" spans="1:8" ht="15" x14ac:dyDescent="0.25">
      <c r="A65" s="2">
        <v>64</v>
      </c>
      <c r="B65" s="6" t="s">
        <v>93</v>
      </c>
      <c r="C65" s="4" t="s">
        <v>22</v>
      </c>
      <c r="D65" s="4" t="s">
        <v>7</v>
      </c>
      <c r="E65" s="3" t="s">
        <v>14</v>
      </c>
      <c r="F65" s="5">
        <v>57</v>
      </c>
      <c r="G65" s="20">
        <v>1</v>
      </c>
    </row>
    <row r="66" spans="1:8" ht="15" x14ac:dyDescent="0.25">
      <c r="A66" s="2">
        <v>65</v>
      </c>
      <c r="B66" s="6" t="s">
        <v>94</v>
      </c>
      <c r="C66" s="4" t="s">
        <v>13</v>
      </c>
      <c r="D66" s="4" t="s">
        <v>95</v>
      </c>
      <c r="E66" s="3" t="s">
        <v>8</v>
      </c>
      <c r="F66" s="5">
        <v>55</v>
      </c>
      <c r="H66" s="19">
        <v>1</v>
      </c>
    </row>
    <row r="67" spans="1:8" ht="15" x14ac:dyDescent="0.25">
      <c r="A67" s="2">
        <v>66</v>
      </c>
      <c r="B67" s="6" t="s">
        <v>96</v>
      </c>
      <c r="C67" s="4" t="s">
        <v>57</v>
      </c>
      <c r="D67" s="4" t="s">
        <v>28</v>
      </c>
      <c r="E67" s="3" t="s">
        <v>14</v>
      </c>
      <c r="F67" s="5">
        <v>45</v>
      </c>
      <c r="G67" s="20">
        <v>1</v>
      </c>
    </row>
    <row r="68" spans="1:8" ht="15" x14ac:dyDescent="0.25">
      <c r="A68" s="2">
        <v>67</v>
      </c>
      <c r="B68" s="6" t="s">
        <v>97</v>
      </c>
      <c r="C68" s="4" t="s">
        <v>6</v>
      </c>
      <c r="D68" s="4" t="s">
        <v>11</v>
      </c>
      <c r="E68" s="3" t="s">
        <v>14</v>
      </c>
      <c r="F68" s="5">
        <v>58</v>
      </c>
      <c r="G68" s="20">
        <v>1</v>
      </c>
    </row>
    <row r="69" spans="1:8" ht="15" x14ac:dyDescent="0.25">
      <c r="A69" s="2">
        <v>68</v>
      </c>
      <c r="B69" s="6" t="s">
        <v>98</v>
      </c>
      <c r="C69" s="4" t="s">
        <v>84</v>
      </c>
      <c r="D69" s="4" t="s">
        <v>99</v>
      </c>
      <c r="E69" s="3" t="s">
        <v>14</v>
      </c>
      <c r="F69" s="5">
        <v>62</v>
      </c>
      <c r="G69" s="20">
        <v>1</v>
      </c>
    </row>
    <row r="70" spans="1:8" ht="15" x14ac:dyDescent="0.25">
      <c r="A70" s="2">
        <v>69</v>
      </c>
      <c r="B70" s="6" t="s">
        <v>100</v>
      </c>
      <c r="C70" s="4" t="s">
        <v>6</v>
      </c>
      <c r="D70" s="4" t="s">
        <v>7</v>
      </c>
      <c r="E70" s="3" t="s">
        <v>14</v>
      </c>
      <c r="F70" s="5">
        <v>60</v>
      </c>
      <c r="G70" s="20">
        <v>1</v>
      </c>
    </row>
    <row r="71" spans="1:8" ht="15" x14ac:dyDescent="0.25">
      <c r="A71" s="2">
        <v>70</v>
      </c>
      <c r="B71" s="6" t="s">
        <v>101</v>
      </c>
      <c r="C71" s="4" t="s">
        <v>27</v>
      </c>
      <c r="D71" s="4" t="s">
        <v>11</v>
      </c>
      <c r="E71" s="3" t="s">
        <v>14</v>
      </c>
      <c r="F71" s="5">
        <v>48</v>
      </c>
      <c r="G71" s="20">
        <v>1</v>
      </c>
    </row>
    <row r="72" spans="1:8" ht="15" x14ac:dyDescent="0.25">
      <c r="A72" s="2">
        <v>71</v>
      </c>
      <c r="B72" s="8" t="s">
        <v>102</v>
      </c>
      <c r="C72" s="4" t="s">
        <v>13</v>
      </c>
      <c r="D72" s="4" t="s">
        <v>7</v>
      </c>
      <c r="E72" s="3" t="s">
        <v>14</v>
      </c>
      <c r="F72" s="5">
        <v>52</v>
      </c>
      <c r="G72" s="20">
        <v>1</v>
      </c>
    </row>
    <row r="73" spans="1:8" ht="15" x14ac:dyDescent="0.25">
      <c r="A73" s="2">
        <v>72</v>
      </c>
      <c r="B73" s="8" t="s">
        <v>103</v>
      </c>
      <c r="C73" s="4" t="s">
        <v>104</v>
      </c>
      <c r="D73" s="4" t="s">
        <v>7</v>
      </c>
      <c r="E73" s="3" t="s">
        <v>14</v>
      </c>
      <c r="F73" s="5">
        <v>46</v>
      </c>
      <c r="G73" s="20">
        <v>1</v>
      </c>
    </row>
    <row r="74" spans="1:8" ht="15" x14ac:dyDescent="0.25">
      <c r="A74" s="2">
        <v>73</v>
      </c>
      <c r="B74" s="8" t="s">
        <v>105</v>
      </c>
      <c r="C74" s="4" t="s">
        <v>84</v>
      </c>
      <c r="D74" s="4" t="s">
        <v>28</v>
      </c>
      <c r="E74" s="3" t="s">
        <v>14</v>
      </c>
      <c r="F74" s="5">
        <v>46</v>
      </c>
      <c r="G74" s="20">
        <v>1</v>
      </c>
    </row>
    <row r="75" spans="1:8" ht="15" x14ac:dyDescent="0.25">
      <c r="A75" s="2">
        <v>74</v>
      </c>
      <c r="B75" s="8" t="s">
        <v>106</v>
      </c>
      <c r="C75" s="4" t="s">
        <v>17</v>
      </c>
      <c r="D75" s="4" t="s">
        <v>7</v>
      </c>
      <c r="E75" s="3" t="s">
        <v>14</v>
      </c>
      <c r="F75" s="5">
        <v>74</v>
      </c>
      <c r="G75" s="20">
        <v>1</v>
      </c>
    </row>
    <row r="76" spans="1:8" ht="15" x14ac:dyDescent="0.25">
      <c r="A76" s="2">
        <v>75</v>
      </c>
      <c r="B76" s="8" t="s">
        <v>107</v>
      </c>
      <c r="C76" s="4" t="s">
        <v>27</v>
      </c>
      <c r="D76" s="4" t="s">
        <v>7</v>
      </c>
      <c r="E76" s="3" t="s">
        <v>14</v>
      </c>
      <c r="F76" s="5">
        <v>67</v>
      </c>
      <c r="G76" s="20">
        <v>1</v>
      </c>
    </row>
    <row r="77" spans="1:8" ht="15" x14ac:dyDescent="0.25">
      <c r="A77" s="2">
        <v>76</v>
      </c>
      <c r="B77" s="8" t="s">
        <v>108</v>
      </c>
      <c r="C77" s="4" t="s">
        <v>13</v>
      </c>
      <c r="D77" s="4" t="s">
        <v>7</v>
      </c>
      <c r="E77" s="3" t="s">
        <v>14</v>
      </c>
      <c r="F77" s="5">
        <v>33</v>
      </c>
      <c r="G77" s="20">
        <v>1</v>
      </c>
    </row>
    <row r="78" spans="1:8" ht="15" x14ac:dyDescent="0.25">
      <c r="A78" s="2">
        <v>77</v>
      </c>
      <c r="B78" s="8" t="s">
        <v>109</v>
      </c>
      <c r="C78" s="4" t="s">
        <v>17</v>
      </c>
      <c r="D78" s="4" t="s">
        <v>11</v>
      </c>
      <c r="E78" s="3" t="s">
        <v>14</v>
      </c>
      <c r="F78" s="5">
        <v>40</v>
      </c>
      <c r="G78" s="20">
        <v>1</v>
      </c>
    </row>
    <row r="79" spans="1:8" ht="15" x14ac:dyDescent="0.25">
      <c r="A79" s="2">
        <v>78</v>
      </c>
      <c r="B79" s="8" t="s">
        <v>110</v>
      </c>
      <c r="C79" s="4" t="s">
        <v>13</v>
      </c>
      <c r="D79" s="4" t="s">
        <v>7</v>
      </c>
      <c r="E79" s="3" t="s">
        <v>8</v>
      </c>
      <c r="F79" s="5">
        <v>58</v>
      </c>
      <c r="H79" s="19">
        <v>1</v>
      </c>
    </row>
    <row r="80" spans="1:8" ht="15" x14ac:dyDescent="0.25">
      <c r="A80" s="2">
        <v>79</v>
      </c>
      <c r="B80" s="8" t="s">
        <v>111</v>
      </c>
      <c r="C80" s="4" t="s">
        <v>13</v>
      </c>
      <c r="D80" s="4" t="s">
        <v>7</v>
      </c>
      <c r="E80" s="3" t="s">
        <v>14</v>
      </c>
      <c r="F80" s="5">
        <v>55</v>
      </c>
      <c r="G80" s="20">
        <v>1</v>
      </c>
    </row>
    <row r="81" spans="1:8" ht="15" x14ac:dyDescent="0.25">
      <c r="A81" s="2">
        <v>80</v>
      </c>
      <c r="B81" s="8" t="s">
        <v>112</v>
      </c>
      <c r="C81" s="4" t="s">
        <v>17</v>
      </c>
      <c r="D81" s="4" t="s">
        <v>7</v>
      </c>
      <c r="E81" s="3" t="s">
        <v>14</v>
      </c>
      <c r="F81" s="5">
        <v>46</v>
      </c>
      <c r="G81" s="20">
        <v>1</v>
      </c>
    </row>
    <row r="82" spans="1:8" ht="15" x14ac:dyDescent="0.25">
      <c r="A82" s="2">
        <v>81</v>
      </c>
      <c r="B82" s="8" t="s">
        <v>113</v>
      </c>
      <c r="C82" s="4" t="s">
        <v>40</v>
      </c>
      <c r="D82" s="4" t="s">
        <v>7</v>
      </c>
      <c r="E82" s="3" t="s">
        <v>14</v>
      </c>
      <c r="F82" s="5">
        <v>46</v>
      </c>
      <c r="G82" s="20">
        <v>1</v>
      </c>
    </row>
    <row r="83" spans="1:8" ht="15" x14ac:dyDescent="0.25">
      <c r="A83" s="2">
        <v>82</v>
      </c>
      <c r="B83" s="8" t="s">
        <v>114</v>
      </c>
      <c r="C83" s="4" t="s">
        <v>6</v>
      </c>
      <c r="D83" s="4" t="s">
        <v>7</v>
      </c>
      <c r="E83" s="3" t="s">
        <v>8</v>
      </c>
      <c r="F83" s="5">
        <v>49</v>
      </c>
      <c r="H83" s="19">
        <v>1</v>
      </c>
    </row>
    <row r="84" spans="1:8" ht="15" x14ac:dyDescent="0.25">
      <c r="A84" s="2">
        <v>83</v>
      </c>
      <c r="B84" s="8" t="s">
        <v>115</v>
      </c>
      <c r="C84" s="4" t="s">
        <v>116</v>
      </c>
      <c r="D84" s="4" t="s">
        <v>7</v>
      </c>
      <c r="E84" s="3" t="s">
        <v>14</v>
      </c>
      <c r="F84" s="5">
        <v>59</v>
      </c>
      <c r="G84" s="20">
        <v>1</v>
      </c>
    </row>
    <row r="85" spans="1:8" ht="15" x14ac:dyDescent="0.25">
      <c r="A85" s="2">
        <v>84</v>
      </c>
      <c r="B85" s="8" t="s">
        <v>117</v>
      </c>
      <c r="C85" s="4" t="s">
        <v>57</v>
      </c>
      <c r="D85" s="4" t="s">
        <v>11</v>
      </c>
      <c r="E85" s="3" t="s">
        <v>14</v>
      </c>
      <c r="F85" s="5">
        <v>46</v>
      </c>
      <c r="G85" s="20">
        <v>1</v>
      </c>
    </row>
    <row r="86" spans="1:8" ht="15" x14ac:dyDescent="0.25">
      <c r="A86" s="2">
        <v>85</v>
      </c>
      <c r="B86" s="8" t="s">
        <v>118</v>
      </c>
      <c r="C86" s="4" t="s">
        <v>13</v>
      </c>
      <c r="D86" s="4" t="s">
        <v>7</v>
      </c>
      <c r="E86" s="3" t="s">
        <v>14</v>
      </c>
      <c r="F86" s="5">
        <v>44</v>
      </c>
      <c r="G86" s="20">
        <v>1</v>
      </c>
    </row>
    <row r="87" spans="1:8" ht="15" x14ac:dyDescent="0.25">
      <c r="A87" s="2">
        <v>86</v>
      </c>
      <c r="B87" s="8" t="s">
        <v>119</v>
      </c>
      <c r="C87" s="4" t="s">
        <v>66</v>
      </c>
      <c r="D87" s="4" t="s">
        <v>11</v>
      </c>
      <c r="E87" s="3" t="s">
        <v>14</v>
      </c>
      <c r="F87" s="5">
        <v>43</v>
      </c>
      <c r="G87" s="20">
        <v>1</v>
      </c>
    </row>
    <row r="88" spans="1:8" ht="15" x14ac:dyDescent="0.25">
      <c r="A88" s="2">
        <v>87</v>
      </c>
      <c r="B88" s="8" t="s">
        <v>120</v>
      </c>
      <c r="C88" s="4" t="s">
        <v>6</v>
      </c>
      <c r="D88" s="4" t="s">
        <v>11</v>
      </c>
      <c r="E88" s="3" t="s">
        <v>14</v>
      </c>
      <c r="F88" s="5">
        <v>44</v>
      </c>
      <c r="G88" s="20">
        <v>1</v>
      </c>
    </row>
    <row r="89" spans="1:8" ht="15" x14ac:dyDescent="0.25">
      <c r="A89" s="2">
        <v>88</v>
      </c>
      <c r="B89" s="8" t="s">
        <v>121</v>
      </c>
      <c r="C89" s="4" t="s">
        <v>64</v>
      </c>
      <c r="D89" s="4" t="s">
        <v>7</v>
      </c>
      <c r="E89" s="3" t="s">
        <v>14</v>
      </c>
      <c r="F89" s="5">
        <v>52</v>
      </c>
      <c r="G89" s="20">
        <v>1</v>
      </c>
    </row>
    <row r="90" spans="1:8" ht="15" x14ac:dyDescent="0.25">
      <c r="A90" s="2">
        <v>89</v>
      </c>
      <c r="B90" s="8" t="s">
        <v>122</v>
      </c>
      <c r="C90" s="4" t="s">
        <v>57</v>
      </c>
      <c r="D90" s="4" t="s">
        <v>7</v>
      </c>
      <c r="E90" s="3" t="s">
        <v>14</v>
      </c>
      <c r="F90" s="5">
        <v>43</v>
      </c>
      <c r="G90" s="20">
        <v>1</v>
      </c>
    </row>
    <row r="91" spans="1:8" ht="15" x14ac:dyDescent="0.25">
      <c r="A91" s="2">
        <v>90</v>
      </c>
      <c r="B91" s="8" t="s">
        <v>123</v>
      </c>
      <c r="C91" s="4" t="s">
        <v>13</v>
      </c>
      <c r="D91" s="4" t="s">
        <v>11</v>
      </c>
      <c r="E91" s="3" t="s">
        <v>14</v>
      </c>
      <c r="F91" s="5">
        <v>53</v>
      </c>
      <c r="G91" s="20">
        <v>1</v>
      </c>
    </row>
    <row r="92" spans="1:8" ht="15" x14ac:dyDescent="0.25">
      <c r="A92" s="2">
        <v>91</v>
      </c>
      <c r="B92" s="8" t="s">
        <v>124</v>
      </c>
      <c r="C92" s="4" t="s">
        <v>13</v>
      </c>
      <c r="D92" s="4" t="s">
        <v>28</v>
      </c>
      <c r="E92" s="3" t="s">
        <v>8</v>
      </c>
      <c r="F92" s="5">
        <v>62</v>
      </c>
      <c r="H92" s="19">
        <v>1</v>
      </c>
    </row>
    <row r="93" spans="1:8" ht="15" x14ac:dyDescent="0.25">
      <c r="A93" s="2">
        <v>92</v>
      </c>
      <c r="B93" s="8" t="s">
        <v>125</v>
      </c>
      <c r="C93" s="4" t="s">
        <v>66</v>
      </c>
      <c r="D93" s="4" t="s">
        <v>7</v>
      </c>
      <c r="E93" s="3" t="s">
        <v>8</v>
      </c>
      <c r="F93" s="5">
        <v>61</v>
      </c>
      <c r="H93" s="19">
        <v>1</v>
      </c>
    </row>
    <row r="94" spans="1:8" ht="15" x14ac:dyDescent="0.25">
      <c r="A94" s="2">
        <v>93</v>
      </c>
      <c r="B94" s="8" t="s">
        <v>126</v>
      </c>
      <c r="C94" s="4" t="s">
        <v>17</v>
      </c>
      <c r="D94" s="4" t="s">
        <v>127</v>
      </c>
      <c r="E94" s="3" t="s">
        <v>8</v>
      </c>
      <c r="F94" s="5">
        <v>46</v>
      </c>
      <c r="H94" s="19">
        <v>1</v>
      </c>
    </row>
    <row r="95" spans="1:8" ht="15" x14ac:dyDescent="0.25">
      <c r="A95" s="2">
        <v>94</v>
      </c>
      <c r="B95" s="8" t="s">
        <v>128</v>
      </c>
      <c r="C95" s="4" t="s">
        <v>57</v>
      </c>
      <c r="D95" s="4" t="s">
        <v>11</v>
      </c>
      <c r="E95" s="3" t="s">
        <v>8</v>
      </c>
      <c r="F95" s="5">
        <v>54</v>
      </c>
      <c r="H95" s="19">
        <v>1</v>
      </c>
    </row>
    <row r="96" spans="1:8" ht="15" x14ac:dyDescent="0.25">
      <c r="A96" s="2">
        <v>95</v>
      </c>
      <c r="B96" s="8" t="s">
        <v>129</v>
      </c>
      <c r="C96" s="4" t="s">
        <v>17</v>
      </c>
      <c r="D96" s="4" t="s">
        <v>11</v>
      </c>
      <c r="E96" s="3" t="s">
        <v>8</v>
      </c>
      <c r="F96" s="5">
        <v>50</v>
      </c>
      <c r="H96" s="19">
        <v>1</v>
      </c>
    </row>
    <row r="97" spans="1:8" ht="15" x14ac:dyDescent="0.25">
      <c r="A97" s="2">
        <v>96</v>
      </c>
      <c r="B97" s="8" t="s">
        <v>130</v>
      </c>
      <c r="C97" s="4" t="s">
        <v>45</v>
      </c>
      <c r="D97" s="4" t="s">
        <v>7</v>
      </c>
      <c r="E97" s="3" t="s">
        <v>8</v>
      </c>
      <c r="F97" s="5">
        <v>52</v>
      </c>
      <c r="H97" s="19">
        <v>1</v>
      </c>
    </row>
    <row r="98" spans="1:8" ht="15" x14ac:dyDescent="0.25">
      <c r="A98" s="2">
        <v>97</v>
      </c>
      <c r="B98" s="8" t="s">
        <v>131</v>
      </c>
      <c r="C98" s="4" t="s">
        <v>17</v>
      </c>
      <c r="D98" s="4" t="s">
        <v>95</v>
      </c>
      <c r="E98" s="3" t="s">
        <v>8</v>
      </c>
      <c r="F98" s="5">
        <v>44</v>
      </c>
      <c r="H98" s="19">
        <v>1</v>
      </c>
    </row>
    <row r="99" spans="1:8" ht="15" x14ac:dyDescent="0.25">
      <c r="A99" s="2">
        <v>98</v>
      </c>
      <c r="B99" s="8" t="s">
        <v>132</v>
      </c>
      <c r="C99" s="4" t="s">
        <v>66</v>
      </c>
      <c r="D99" s="4" t="s">
        <v>7</v>
      </c>
      <c r="E99" s="3" t="s">
        <v>8</v>
      </c>
      <c r="F99" s="5">
        <v>60</v>
      </c>
      <c r="H99" s="19">
        <v>1</v>
      </c>
    </row>
    <row r="100" spans="1:8" ht="15" x14ac:dyDescent="0.25">
      <c r="A100" s="2">
        <v>99</v>
      </c>
      <c r="B100" s="8" t="s">
        <v>133</v>
      </c>
      <c r="C100" s="4" t="s">
        <v>33</v>
      </c>
      <c r="D100" s="4" t="s">
        <v>38</v>
      </c>
      <c r="E100" s="3" t="s">
        <v>8</v>
      </c>
      <c r="F100" s="5">
        <v>42</v>
      </c>
      <c r="H100" s="19">
        <v>1</v>
      </c>
    </row>
    <row r="101" spans="1:8" ht="15" x14ac:dyDescent="0.25">
      <c r="A101" s="2">
        <v>100</v>
      </c>
      <c r="B101" s="8" t="s">
        <v>134</v>
      </c>
      <c r="C101" s="4" t="s">
        <v>13</v>
      </c>
      <c r="D101" s="4" t="s">
        <v>11</v>
      </c>
      <c r="E101" s="3" t="s">
        <v>8</v>
      </c>
      <c r="F101" s="5">
        <v>63</v>
      </c>
      <c r="H101" s="19">
        <v>1</v>
      </c>
    </row>
    <row r="102" spans="1:8" ht="15" x14ac:dyDescent="0.25">
      <c r="A102" s="2">
        <v>101</v>
      </c>
      <c r="B102" s="8" t="s">
        <v>135</v>
      </c>
      <c r="C102" s="4" t="s">
        <v>30</v>
      </c>
      <c r="D102" s="4" t="s">
        <v>7</v>
      </c>
      <c r="E102" s="3" t="s">
        <v>8</v>
      </c>
      <c r="F102" s="9">
        <v>63</v>
      </c>
      <c r="H102" s="19">
        <v>1</v>
      </c>
    </row>
    <row r="103" spans="1:8" ht="15" x14ac:dyDescent="0.25">
      <c r="A103" s="2">
        <v>102</v>
      </c>
      <c r="B103" s="8" t="s">
        <v>136</v>
      </c>
      <c r="C103" s="4" t="s">
        <v>64</v>
      </c>
      <c r="D103" s="4" t="s">
        <v>7</v>
      </c>
      <c r="E103" s="3" t="s">
        <v>14</v>
      </c>
      <c r="F103" s="9">
        <v>52</v>
      </c>
      <c r="G103" s="20">
        <v>1</v>
      </c>
    </row>
    <row r="104" spans="1:8" ht="15" x14ac:dyDescent="0.25">
      <c r="A104" s="2">
        <v>103</v>
      </c>
      <c r="B104" s="8" t="s">
        <v>137</v>
      </c>
      <c r="C104" s="4" t="s">
        <v>138</v>
      </c>
      <c r="D104" s="4" t="s">
        <v>28</v>
      </c>
      <c r="E104" s="3" t="s">
        <v>14</v>
      </c>
      <c r="F104" s="9">
        <v>62</v>
      </c>
      <c r="G104" s="20">
        <v>1</v>
      </c>
    </row>
    <row r="105" spans="1:8" ht="15" x14ac:dyDescent="0.25">
      <c r="A105" s="2">
        <v>104</v>
      </c>
      <c r="B105" s="8" t="s">
        <v>139</v>
      </c>
      <c r="C105" s="4" t="s">
        <v>47</v>
      </c>
      <c r="D105" s="4" t="s">
        <v>28</v>
      </c>
      <c r="E105" s="3" t="s">
        <v>14</v>
      </c>
      <c r="F105" s="9">
        <v>39</v>
      </c>
      <c r="G105" s="20">
        <v>1</v>
      </c>
    </row>
    <row r="106" spans="1:8" ht="15" x14ac:dyDescent="0.25">
      <c r="A106" s="2">
        <v>105</v>
      </c>
      <c r="B106" s="8" t="s">
        <v>140</v>
      </c>
      <c r="C106" s="4" t="s">
        <v>17</v>
      </c>
      <c r="D106" s="4" t="s">
        <v>7</v>
      </c>
      <c r="E106" s="3" t="s">
        <v>14</v>
      </c>
      <c r="F106" s="9">
        <v>38</v>
      </c>
      <c r="G106" s="20">
        <v>1</v>
      </c>
    </row>
    <row r="107" spans="1:8" ht="15" x14ac:dyDescent="0.25">
      <c r="A107" s="2">
        <v>106</v>
      </c>
      <c r="B107" s="4" t="s">
        <v>141</v>
      </c>
      <c r="C107" s="3" t="s">
        <v>13</v>
      </c>
      <c r="D107" s="4" t="s">
        <v>142</v>
      </c>
      <c r="E107" s="3" t="s">
        <v>14</v>
      </c>
      <c r="F107" s="9">
        <v>42</v>
      </c>
      <c r="G107" s="20">
        <v>1</v>
      </c>
    </row>
    <row r="108" spans="1:8" ht="15" x14ac:dyDescent="0.25">
      <c r="A108" s="2">
        <v>107</v>
      </c>
      <c r="B108" s="8" t="s">
        <v>143</v>
      </c>
      <c r="C108" s="4" t="s">
        <v>144</v>
      </c>
      <c r="D108" s="4" t="s">
        <v>28</v>
      </c>
      <c r="E108" s="3" t="s">
        <v>14</v>
      </c>
      <c r="F108" s="9">
        <v>54</v>
      </c>
      <c r="G108" s="20">
        <v>1</v>
      </c>
    </row>
    <row r="109" spans="1:8" ht="15" x14ac:dyDescent="0.25">
      <c r="A109" s="2">
        <v>108</v>
      </c>
      <c r="B109" s="8" t="s">
        <v>145</v>
      </c>
      <c r="C109" s="4" t="s">
        <v>45</v>
      </c>
      <c r="D109" s="4" t="s">
        <v>28</v>
      </c>
      <c r="E109" s="3" t="s">
        <v>14</v>
      </c>
      <c r="F109" s="9">
        <v>39</v>
      </c>
      <c r="G109" s="20">
        <v>1</v>
      </c>
    </row>
    <row r="110" spans="1:8" ht="15" x14ac:dyDescent="0.25">
      <c r="A110" s="2">
        <v>109</v>
      </c>
      <c r="B110" s="8" t="s">
        <v>146</v>
      </c>
      <c r="C110" s="4" t="s">
        <v>13</v>
      </c>
      <c r="D110" s="4" t="s">
        <v>11</v>
      </c>
      <c r="E110" s="3" t="s">
        <v>14</v>
      </c>
      <c r="F110" s="9">
        <v>66</v>
      </c>
      <c r="G110" s="20">
        <v>1</v>
      </c>
    </row>
    <row r="111" spans="1:8" ht="15" x14ac:dyDescent="0.25">
      <c r="A111" s="2">
        <v>110</v>
      </c>
      <c r="B111" s="8" t="s">
        <v>147</v>
      </c>
      <c r="C111" s="4" t="s">
        <v>57</v>
      </c>
      <c r="D111" s="4" t="s">
        <v>7</v>
      </c>
      <c r="E111" s="3" t="s">
        <v>14</v>
      </c>
      <c r="F111" s="9">
        <v>36</v>
      </c>
      <c r="G111" s="20">
        <v>1</v>
      </c>
    </row>
    <row r="112" spans="1:8" ht="15" x14ac:dyDescent="0.25">
      <c r="A112" s="2">
        <v>111</v>
      </c>
      <c r="B112" s="8" t="s">
        <v>148</v>
      </c>
      <c r="C112" s="4" t="s">
        <v>104</v>
      </c>
      <c r="D112" s="4" t="s">
        <v>28</v>
      </c>
      <c r="E112" s="3" t="s">
        <v>14</v>
      </c>
      <c r="F112" s="9">
        <v>53</v>
      </c>
      <c r="G112" s="20">
        <v>1</v>
      </c>
    </row>
    <row r="113" spans="1:8" ht="15" x14ac:dyDescent="0.25">
      <c r="A113" s="2">
        <v>112</v>
      </c>
      <c r="B113" s="8" t="s">
        <v>149</v>
      </c>
      <c r="C113" s="4" t="s">
        <v>17</v>
      </c>
      <c r="D113" s="4" t="s">
        <v>38</v>
      </c>
      <c r="E113" s="3" t="s">
        <v>14</v>
      </c>
      <c r="F113" s="9">
        <v>32</v>
      </c>
      <c r="G113" s="20">
        <v>1</v>
      </c>
    </row>
    <row r="114" spans="1:8" ht="15" x14ac:dyDescent="0.25">
      <c r="A114" s="2">
        <v>113</v>
      </c>
      <c r="B114" s="8" t="s">
        <v>150</v>
      </c>
      <c r="C114" s="4" t="s">
        <v>13</v>
      </c>
      <c r="D114" s="4" t="s">
        <v>95</v>
      </c>
      <c r="E114" s="3" t="s">
        <v>14</v>
      </c>
      <c r="F114" s="9">
        <v>50</v>
      </c>
      <c r="G114" s="20">
        <v>1</v>
      </c>
    </row>
    <row r="115" spans="1:8" ht="15" x14ac:dyDescent="0.25">
      <c r="A115" s="2">
        <v>114</v>
      </c>
      <c r="B115" s="8" t="s">
        <v>151</v>
      </c>
      <c r="C115" s="4" t="s">
        <v>17</v>
      </c>
      <c r="D115" s="4" t="s">
        <v>28</v>
      </c>
      <c r="E115" s="3" t="s">
        <v>14</v>
      </c>
      <c r="F115" s="9">
        <v>40</v>
      </c>
      <c r="G115" s="20">
        <v>1</v>
      </c>
    </row>
    <row r="116" spans="1:8" ht="15" x14ac:dyDescent="0.25">
      <c r="A116" s="2">
        <v>115</v>
      </c>
      <c r="B116" s="8" t="s">
        <v>152</v>
      </c>
      <c r="C116" s="4" t="s">
        <v>13</v>
      </c>
      <c r="D116" s="4" t="s">
        <v>11</v>
      </c>
      <c r="E116" s="3" t="s">
        <v>14</v>
      </c>
      <c r="F116" s="9">
        <v>74</v>
      </c>
      <c r="G116" s="20">
        <v>1</v>
      </c>
    </row>
    <row r="117" spans="1:8" ht="15" x14ac:dyDescent="0.25">
      <c r="A117" s="2">
        <v>116</v>
      </c>
      <c r="B117" s="8" t="s">
        <v>153</v>
      </c>
      <c r="C117" s="4" t="s">
        <v>13</v>
      </c>
      <c r="D117" s="4" t="s">
        <v>28</v>
      </c>
      <c r="E117" s="3" t="s">
        <v>14</v>
      </c>
      <c r="F117" s="9">
        <v>32</v>
      </c>
      <c r="G117" s="20">
        <v>1</v>
      </c>
    </row>
    <row r="118" spans="1:8" ht="15" x14ac:dyDescent="0.25">
      <c r="A118" s="2">
        <v>117</v>
      </c>
      <c r="B118" s="8" t="s">
        <v>154</v>
      </c>
      <c r="C118" s="4" t="s">
        <v>155</v>
      </c>
      <c r="D118" s="4" t="s">
        <v>7</v>
      </c>
      <c r="E118" s="3" t="s">
        <v>14</v>
      </c>
      <c r="F118" s="9">
        <v>47</v>
      </c>
      <c r="G118" s="20">
        <v>1</v>
      </c>
    </row>
    <row r="119" spans="1:8" ht="15" x14ac:dyDescent="0.25">
      <c r="A119" s="2">
        <v>118</v>
      </c>
      <c r="B119" s="8" t="s">
        <v>156</v>
      </c>
      <c r="C119" s="4" t="s">
        <v>55</v>
      </c>
      <c r="D119" s="4" t="s">
        <v>28</v>
      </c>
      <c r="E119" s="3" t="s">
        <v>14</v>
      </c>
      <c r="F119" s="9">
        <v>31</v>
      </c>
      <c r="G119" s="20">
        <v>1</v>
      </c>
    </row>
    <row r="120" spans="1:8" ht="15" x14ac:dyDescent="0.25">
      <c r="A120" s="2">
        <v>119</v>
      </c>
      <c r="B120" s="8" t="s">
        <v>157</v>
      </c>
      <c r="C120" s="4" t="s">
        <v>66</v>
      </c>
      <c r="D120" s="4" t="s">
        <v>28</v>
      </c>
      <c r="E120" s="3" t="s">
        <v>14</v>
      </c>
      <c r="F120" s="9">
        <v>43</v>
      </c>
      <c r="G120" s="20">
        <v>1</v>
      </c>
    </row>
    <row r="121" spans="1:8" ht="15" x14ac:dyDescent="0.25">
      <c r="A121" s="2">
        <v>120</v>
      </c>
      <c r="B121" s="8" t="s">
        <v>158</v>
      </c>
      <c r="C121" s="4" t="s">
        <v>80</v>
      </c>
      <c r="D121" s="4" t="s">
        <v>7</v>
      </c>
      <c r="E121" s="3" t="s">
        <v>14</v>
      </c>
      <c r="F121" s="9">
        <v>68</v>
      </c>
      <c r="G121" s="20">
        <v>1</v>
      </c>
    </row>
    <row r="122" spans="1:8" ht="15" x14ac:dyDescent="0.25">
      <c r="A122" s="2">
        <v>121</v>
      </c>
      <c r="B122" s="8" t="s">
        <v>159</v>
      </c>
      <c r="C122" s="4" t="s">
        <v>57</v>
      </c>
      <c r="D122" s="4" t="s">
        <v>11</v>
      </c>
      <c r="E122" s="3" t="s">
        <v>14</v>
      </c>
      <c r="F122" s="9">
        <v>67</v>
      </c>
      <c r="G122" s="20">
        <v>1</v>
      </c>
    </row>
    <row r="123" spans="1:8" ht="15" x14ac:dyDescent="0.25">
      <c r="A123" s="2">
        <v>122</v>
      </c>
      <c r="B123" s="8" t="s">
        <v>160</v>
      </c>
      <c r="C123" s="4" t="s">
        <v>80</v>
      </c>
      <c r="D123" s="4" t="s">
        <v>7</v>
      </c>
      <c r="E123" s="3" t="s">
        <v>14</v>
      </c>
      <c r="F123" s="9">
        <v>63</v>
      </c>
      <c r="G123" s="20">
        <v>1</v>
      </c>
    </row>
    <row r="124" spans="1:8" ht="15" x14ac:dyDescent="0.25">
      <c r="A124" s="2">
        <v>123</v>
      </c>
      <c r="B124" s="8" t="s">
        <v>161</v>
      </c>
      <c r="C124" s="4" t="s">
        <v>116</v>
      </c>
      <c r="D124" s="4" t="s">
        <v>11</v>
      </c>
      <c r="E124" s="3" t="s">
        <v>8</v>
      </c>
      <c r="F124" s="9">
        <v>55</v>
      </c>
      <c r="H124" s="19">
        <v>1</v>
      </c>
    </row>
    <row r="125" spans="1:8" ht="15" x14ac:dyDescent="0.25">
      <c r="A125" s="2">
        <v>124</v>
      </c>
      <c r="B125" s="8" t="s">
        <v>162</v>
      </c>
      <c r="C125" s="4" t="s">
        <v>57</v>
      </c>
      <c r="D125" s="4" t="s">
        <v>7</v>
      </c>
      <c r="E125" s="3" t="s">
        <v>14</v>
      </c>
      <c r="F125" s="9">
        <v>50</v>
      </c>
      <c r="G125" s="20">
        <v>1</v>
      </c>
    </row>
    <row r="126" spans="1:8" ht="15" x14ac:dyDescent="0.25">
      <c r="A126" s="2">
        <v>125</v>
      </c>
      <c r="B126" s="8" t="s">
        <v>163</v>
      </c>
      <c r="C126" s="4" t="s">
        <v>144</v>
      </c>
      <c r="D126" s="4" t="s">
        <v>7</v>
      </c>
      <c r="E126" s="3" t="s">
        <v>8</v>
      </c>
      <c r="F126" s="9">
        <v>64</v>
      </c>
      <c r="H126" s="19">
        <v>1</v>
      </c>
    </row>
    <row r="127" spans="1:8" ht="15" x14ac:dyDescent="0.25">
      <c r="A127" s="2">
        <v>126</v>
      </c>
      <c r="B127" s="8" t="s">
        <v>164</v>
      </c>
      <c r="C127" s="4" t="s">
        <v>6</v>
      </c>
      <c r="D127" s="4" t="s">
        <v>11</v>
      </c>
      <c r="E127" s="3" t="s">
        <v>8</v>
      </c>
      <c r="F127" s="9">
        <v>69</v>
      </c>
      <c r="H127" s="19">
        <v>1</v>
      </c>
    </row>
    <row r="128" spans="1:8" ht="15" x14ac:dyDescent="0.25">
      <c r="A128" s="2">
        <v>127</v>
      </c>
      <c r="B128" s="8" t="s">
        <v>165</v>
      </c>
      <c r="C128" s="4" t="s">
        <v>166</v>
      </c>
      <c r="D128" s="4" t="s">
        <v>7</v>
      </c>
      <c r="E128" s="3" t="s">
        <v>8</v>
      </c>
      <c r="F128" s="9">
        <v>55</v>
      </c>
      <c r="H128" s="19">
        <v>1</v>
      </c>
    </row>
    <row r="129" spans="1:8" ht="15" x14ac:dyDescent="0.25">
      <c r="A129" s="2">
        <v>128</v>
      </c>
      <c r="B129" s="8" t="s">
        <v>167</v>
      </c>
      <c r="C129" s="4" t="s">
        <v>64</v>
      </c>
      <c r="D129" s="4" t="s">
        <v>7</v>
      </c>
      <c r="E129" s="3" t="s">
        <v>8</v>
      </c>
      <c r="F129" s="9">
        <v>27</v>
      </c>
      <c r="H129" s="19">
        <v>1</v>
      </c>
    </row>
    <row r="130" spans="1:8" ht="15" x14ac:dyDescent="0.25">
      <c r="A130" s="2">
        <v>129</v>
      </c>
      <c r="B130" s="8" t="s">
        <v>168</v>
      </c>
      <c r="C130" s="4" t="s">
        <v>57</v>
      </c>
      <c r="D130" s="4" t="s">
        <v>28</v>
      </c>
      <c r="E130" s="3" t="s">
        <v>8</v>
      </c>
      <c r="F130" s="9">
        <v>62</v>
      </c>
      <c r="H130" s="19">
        <v>1</v>
      </c>
    </row>
    <row r="131" spans="1:8" ht="15" x14ac:dyDescent="0.25">
      <c r="A131" s="2">
        <v>130</v>
      </c>
      <c r="B131" s="8" t="s">
        <v>169</v>
      </c>
      <c r="C131" s="4" t="s">
        <v>104</v>
      </c>
      <c r="D131" s="4" t="s">
        <v>11</v>
      </c>
      <c r="E131" s="3" t="s">
        <v>14</v>
      </c>
      <c r="F131" s="9">
        <v>46</v>
      </c>
      <c r="G131" s="20">
        <v>1</v>
      </c>
    </row>
    <row r="132" spans="1:8" ht="15" x14ac:dyDescent="0.25">
      <c r="A132" s="2">
        <v>131</v>
      </c>
      <c r="B132" s="8" t="s">
        <v>170</v>
      </c>
      <c r="C132" s="4" t="s">
        <v>47</v>
      </c>
      <c r="D132" s="4" t="s">
        <v>11</v>
      </c>
      <c r="E132" s="3" t="s">
        <v>14</v>
      </c>
      <c r="F132" s="9">
        <v>48</v>
      </c>
      <c r="G132" s="20">
        <v>1</v>
      </c>
    </row>
    <row r="133" spans="1:8" ht="15" x14ac:dyDescent="0.25">
      <c r="A133" s="2">
        <v>132</v>
      </c>
      <c r="B133" s="8" t="s">
        <v>171</v>
      </c>
      <c r="C133" s="4" t="s">
        <v>138</v>
      </c>
      <c r="D133" s="4" t="s">
        <v>11</v>
      </c>
      <c r="E133" s="3" t="s">
        <v>14</v>
      </c>
      <c r="F133" s="9">
        <v>35</v>
      </c>
      <c r="G133" s="20">
        <v>1</v>
      </c>
    </row>
    <row r="134" spans="1:8" ht="15" x14ac:dyDescent="0.25">
      <c r="A134" s="2">
        <v>133</v>
      </c>
      <c r="B134" s="8" t="s">
        <v>172</v>
      </c>
      <c r="C134" s="4" t="s">
        <v>64</v>
      </c>
      <c r="D134" s="4" t="s">
        <v>28</v>
      </c>
      <c r="E134" s="3" t="s">
        <v>14</v>
      </c>
      <c r="F134" s="9">
        <v>34</v>
      </c>
      <c r="G134" s="20">
        <v>1</v>
      </c>
    </row>
    <row r="135" spans="1:8" ht="15" x14ac:dyDescent="0.25">
      <c r="A135" s="2">
        <v>134</v>
      </c>
      <c r="B135" s="8" t="s">
        <v>173</v>
      </c>
      <c r="C135" s="4" t="s">
        <v>17</v>
      </c>
      <c r="D135" s="4" t="s">
        <v>28</v>
      </c>
      <c r="E135" s="3" t="s">
        <v>8</v>
      </c>
      <c r="F135" s="9">
        <v>43</v>
      </c>
      <c r="H135" s="19">
        <v>1</v>
      </c>
    </row>
    <row r="136" spans="1:8" ht="15" x14ac:dyDescent="0.25">
      <c r="A136" s="2">
        <v>135</v>
      </c>
      <c r="B136" s="8" t="s">
        <v>174</v>
      </c>
      <c r="C136" s="4" t="s">
        <v>155</v>
      </c>
      <c r="D136" s="4" t="s">
        <v>28</v>
      </c>
      <c r="E136" s="3" t="s">
        <v>14</v>
      </c>
      <c r="F136" s="9">
        <v>48</v>
      </c>
      <c r="G136" s="20">
        <v>1</v>
      </c>
    </row>
    <row r="137" spans="1:8" ht="15" x14ac:dyDescent="0.25">
      <c r="A137" s="2">
        <v>136</v>
      </c>
      <c r="B137" s="8" t="s">
        <v>175</v>
      </c>
      <c r="C137" s="4" t="s">
        <v>80</v>
      </c>
      <c r="D137" s="4" t="s">
        <v>7</v>
      </c>
      <c r="E137" s="3" t="s">
        <v>8</v>
      </c>
      <c r="F137" s="9">
        <v>54</v>
      </c>
      <c r="H137" s="19">
        <v>1</v>
      </c>
    </row>
    <row r="138" spans="1:8" ht="15" x14ac:dyDescent="0.25">
      <c r="A138" s="2">
        <v>137</v>
      </c>
      <c r="B138" s="6" t="s">
        <v>176</v>
      </c>
      <c r="C138" s="4" t="s">
        <v>22</v>
      </c>
      <c r="D138" s="4" t="s">
        <v>28</v>
      </c>
      <c r="E138" s="3" t="s">
        <v>8</v>
      </c>
      <c r="F138" s="9">
        <v>50</v>
      </c>
      <c r="H138" s="19">
        <v>1</v>
      </c>
    </row>
    <row r="139" spans="1:8" ht="15" x14ac:dyDescent="0.25">
      <c r="A139" s="2">
        <v>138</v>
      </c>
      <c r="B139" s="6" t="s">
        <v>177</v>
      </c>
      <c r="C139" s="4" t="s">
        <v>17</v>
      </c>
      <c r="D139" s="4" t="s">
        <v>7</v>
      </c>
      <c r="E139" s="3" t="s">
        <v>14</v>
      </c>
      <c r="F139" s="9">
        <v>23</v>
      </c>
      <c r="G139" s="20">
        <v>1</v>
      </c>
    </row>
    <row r="140" spans="1:8" ht="15" x14ac:dyDescent="0.25">
      <c r="A140" s="2">
        <v>139</v>
      </c>
      <c r="B140" s="6" t="s">
        <v>178</v>
      </c>
      <c r="C140" s="4" t="s">
        <v>66</v>
      </c>
      <c r="D140" s="4" t="s">
        <v>11</v>
      </c>
      <c r="E140" s="3" t="s">
        <v>14</v>
      </c>
      <c r="F140" s="9">
        <v>62</v>
      </c>
      <c r="G140" s="20">
        <v>1</v>
      </c>
    </row>
    <row r="141" spans="1:8" ht="15" x14ac:dyDescent="0.25">
      <c r="A141" s="2">
        <v>140</v>
      </c>
      <c r="B141" s="6" t="s">
        <v>179</v>
      </c>
      <c r="C141" s="4" t="s">
        <v>13</v>
      </c>
      <c r="D141" s="4" t="s">
        <v>28</v>
      </c>
      <c r="E141" s="3" t="s">
        <v>14</v>
      </c>
      <c r="F141" s="9">
        <v>78</v>
      </c>
      <c r="G141" s="20">
        <v>1</v>
      </c>
    </row>
    <row r="142" spans="1:8" ht="15" x14ac:dyDescent="0.25">
      <c r="A142" s="2">
        <v>141</v>
      </c>
      <c r="B142" s="8" t="s">
        <v>180</v>
      </c>
      <c r="C142" s="4" t="s">
        <v>33</v>
      </c>
      <c r="D142" s="4" t="s">
        <v>11</v>
      </c>
      <c r="E142" s="3" t="s">
        <v>8</v>
      </c>
      <c r="F142" s="9">
        <v>43</v>
      </c>
      <c r="H142" s="19">
        <v>1</v>
      </c>
    </row>
    <row r="143" spans="1:8" ht="15" x14ac:dyDescent="0.25">
      <c r="A143" s="2">
        <v>142</v>
      </c>
      <c r="B143" s="8" t="s">
        <v>181</v>
      </c>
      <c r="C143" s="4" t="s">
        <v>17</v>
      </c>
      <c r="D143" s="4" t="s">
        <v>7</v>
      </c>
      <c r="E143" s="3" t="s">
        <v>8</v>
      </c>
      <c r="F143" s="9">
        <v>55</v>
      </c>
      <c r="H143" s="19">
        <v>1</v>
      </c>
    </row>
    <row r="144" spans="1:8" ht="15" x14ac:dyDescent="0.25">
      <c r="A144" s="2">
        <v>143</v>
      </c>
      <c r="B144" s="6" t="s">
        <v>182</v>
      </c>
      <c r="C144" s="4" t="s">
        <v>6</v>
      </c>
      <c r="D144" s="4" t="s">
        <v>28</v>
      </c>
      <c r="E144" s="3" t="s">
        <v>8</v>
      </c>
      <c r="F144" s="9">
        <v>47</v>
      </c>
      <c r="H144" s="19">
        <v>1</v>
      </c>
    </row>
    <row r="145" spans="1:8" ht="15" x14ac:dyDescent="0.25">
      <c r="A145" s="2">
        <v>144</v>
      </c>
      <c r="B145" s="8" t="s">
        <v>183</v>
      </c>
      <c r="C145" s="4" t="s">
        <v>17</v>
      </c>
      <c r="D145" s="4" t="s">
        <v>38</v>
      </c>
      <c r="E145" s="3" t="s">
        <v>8</v>
      </c>
      <c r="F145" s="9">
        <v>46</v>
      </c>
      <c r="H145" s="19">
        <v>1</v>
      </c>
    </row>
    <row r="146" spans="1:8" ht="15" x14ac:dyDescent="0.25">
      <c r="A146" s="2">
        <v>145</v>
      </c>
      <c r="B146" s="8" t="s">
        <v>184</v>
      </c>
      <c r="C146" s="4" t="s">
        <v>17</v>
      </c>
      <c r="D146" s="4" t="s">
        <v>11</v>
      </c>
      <c r="E146" s="3" t="s">
        <v>8</v>
      </c>
      <c r="F146" s="9">
        <v>74</v>
      </c>
      <c r="H146" s="19">
        <v>1</v>
      </c>
    </row>
    <row r="147" spans="1:8" ht="15" x14ac:dyDescent="0.25">
      <c r="A147" s="2">
        <v>146</v>
      </c>
      <c r="B147" s="8" t="s">
        <v>185</v>
      </c>
      <c r="C147" s="4" t="s">
        <v>80</v>
      </c>
      <c r="D147" s="4" t="s">
        <v>11</v>
      </c>
      <c r="E147" s="3" t="s">
        <v>8</v>
      </c>
      <c r="F147" s="9">
        <v>58</v>
      </c>
      <c r="H147" s="19">
        <v>1</v>
      </c>
    </row>
    <row r="148" spans="1:8" ht="15" x14ac:dyDescent="0.25">
      <c r="A148" s="2">
        <v>147</v>
      </c>
      <c r="B148" s="8" t="s">
        <v>186</v>
      </c>
      <c r="C148" s="4" t="s">
        <v>6</v>
      </c>
      <c r="D148" s="4" t="s">
        <v>38</v>
      </c>
      <c r="E148" s="3" t="s">
        <v>14</v>
      </c>
      <c r="F148" s="9">
        <v>60</v>
      </c>
      <c r="G148" s="20">
        <v>1</v>
      </c>
    </row>
    <row r="149" spans="1:8" ht="15" x14ac:dyDescent="0.25">
      <c r="A149" s="2">
        <v>148</v>
      </c>
      <c r="B149" s="8" t="s">
        <v>187</v>
      </c>
      <c r="C149" s="4" t="s">
        <v>17</v>
      </c>
      <c r="D149" s="4" t="s">
        <v>28</v>
      </c>
      <c r="E149" s="3" t="s">
        <v>8</v>
      </c>
      <c r="F149" s="9">
        <v>55</v>
      </c>
      <c r="H149" s="19">
        <v>1</v>
      </c>
    </row>
    <row r="150" spans="1:8" ht="15" x14ac:dyDescent="0.25">
      <c r="A150" s="2">
        <v>149</v>
      </c>
      <c r="B150" s="8" t="s">
        <v>188</v>
      </c>
      <c r="C150" s="4" t="s">
        <v>30</v>
      </c>
      <c r="D150" s="4" t="s">
        <v>7</v>
      </c>
      <c r="E150" s="3" t="s">
        <v>14</v>
      </c>
      <c r="F150" s="9">
        <v>63</v>
      </c>
      <c r="G150" s="20">
        <v>1</v>
      </c>
    </row>
    <row r="151" spans="1:8" ht="15" x14ac:dyDescent="0.25">
      <c r="A151" s="2">
        <v>150</v>
      </c>
      <c r="B151" s="8" t="s">
        <v>189</v>
      </c>
      <c r="C151" s="4" t="s">
        <v>30</v>
      </c>
      <c r="D151" s="4" t="s">
        <v>7</v>
      </c>
      <c r="E151" s="3" t="s">
        <v>14</v>
      </c>
      <c r="F151" s="9">
        <v>64</v>
      </c>
      <c r="G151" s="20">
        <v>1</v>
      </c>
    </row>
    <row r="152" spans="1:8" ht="15" x14ac:dyDescent="0.25">
      <c r="A152" s="2">
        <v>151</v>
      </c>
      <c r="B152" s="8" t="s">
        <v>190</v>
      </c>
      <c r="C152" s="4" t="s">
        <v>17</v>
      </c>
      <c r="D152" s="4" t="s">
        <v>11</v>
      </c>
      <c r="E152" s="3" t="s">
        <v>14</v>
      </c>
      <c r="F152" s="9">
        <v>67</v>
      </c>
      <c r="G152" s="20">
        <v>1</v>
      </c>
    </row>
    <row r="153" spans="1:8" ht="15" x14ac:dyDescent="0.25">
      <c r="A153" s="2">
        <v>152</v>
      </c>
      <c r="B153" s="8" t="s">
        <v>191</v>
      </c>
      <c r="C153" s="4" t="s">
        <v>13</v>
      </c>
      <c r="D153" s="4" t="s">
        <v>7</v>
      </c>
      <c r="E153" s="3" t="s">
        <v>14</v>
      </c>
      <c r="F153" s="9">
        <v>44</v>
      </c>
      <c r="G153" s="20">
        <v>1</v>
      </c>
    </row>
    <row r="154" spans="1:8" ht="15" x14ac:dyDescent="0.25">
      <c r="A154" s="2">
        <v>153</v>
      </c>
      <c r="B154" s="8" t="s">
        <v>192</v>
      </c>
      <c r="C154" s="4" t="s">
        <v>17</v>
      </c>
      <c r="D154" s="4" t="s">
        <v>11</v>
      </c>
      <c r="E154" s="3" t="s">
        <v>14</v>
      </c>
      <c r="F154" s="9">
        <v>48</v>
      </c>
      <c r="G154" s="20">
        <v>1</v>
      </c>
    </row>
    <row r="155" spans="1:8" ht="15" x14ac:dyDescent="0.25">
      <c r="A155" s="2">
        <v>154</v>
      </c>
      <c r="B155" s="8" t="s">
        <v>193</v>
      </c>
      <c r="C155" s="3" t="s">
        <v>13</v>
      </c>
      <c r="D155" s="4" t="s">
        <v>38</v>
      </c>
      <c r="E155" s="3" t="s">
        <v>14</v>
      </c>
      <c r="F155" s="9">
        <v>38</v>
      </c>
      <c r="G155" s="20">
        <v>1</v>
      </c>
    </row>
    <row r="156" spans="1:8" ht="15" x14ac:dyDescent="0.25">
      <c r="A156" s="2">
        <v>155</v>
      </c>
      <c r="B156" s="8" t="s">
        <v>194</v>
      </c>
      <c r="C156" s="4" t="s">
        <v>47</v>
      </c>
      <c r="D156" s="4" t="s">
        <v>7</v>
      </c>
      <c r="E156" s="3" t="s">
        <v>14</v>
      </c>
      <c r="F156" s="9">
        <v>42</v>
      </c>
      <c r="G156" s="20">
        <v>1</v>
      </c>
    </row>
    <row r="157" spans="1:8" ht="15" x14ac:dyDescent="0.25">
      <c r="A157" s="2">
        <v>156</v>
      </c>
      <c r="B157" s="8" t="s">
        <v>195</v>
      </c>
      <c r="C157" s="4" t="s">
        <v>27</v>
      </c>
      <c r="D157" s="4" t="s">
        <v>7</v>
      </c>
      <c r="E157" s="3" t="s">
        <v>8</v>
      </c>
      <c r="F157" s="9">
        <v>47</v>
      </c>
      <c r="H157" s="19">
        <v>1</v>
      </c>
    </row>
    <row r="158" spans="1:8" ht="15" x14ac:dyDescent="0.25">
      <c r="A158" s="2">
        <v>157</v>
      </c>
      <c r="B158" s="8" t="s">
        <v>196</v>
      </c>
      <c r="C158" s="4" t="s">
        <v>144</v>
      </c>
      <c r="D158" s="4" t="s">
        <v>11</v>
      </c>
      <c r="E158" s="3" t="s">
        <v>14</v>
      </c>
      <c r="F158" s="9">
        <v>31</v>
      </c>
      <c r="G158" s="20">
        <v>1</v>
      </c>
    </row>
    <row r="159" spans="1:8" ht="15" x14ac:dyDescent="0.25">
      <c r="A159" s="2">
        <v>158</v>
      </c>
      <c r="B159" s="8" t="s">
        <v>197</v>
      </c>
      <c r="C159" s="4" t="s">
        <v>33</v>
      </c>
      <c r="D159" s="4" t="s">
        <v>28</v>
      </c>
      <c r="E159" s="3" t="s">
        <v>14</v>
      </c>
      <c r="F159" s="9">
        <v>68</v>
      </c>
      <c r="G159" s="20">
        <v>1</v>
      </c>
    </row>
    <row r="160" spans="1:8" ht="15" x14ac:dyDescent="0.25">
      <c r="A160" s="2">
        <v>159</v>
      </c>
      <c r="B160" s="8" t="s">
        <v>198</v>
      </c>
      <c r="C160" s="4" t="s">
        <v>116</v>
      </c>
      <c r="D160" s="4" t="s">
        <v>7</v>
      </c>
      <c r="E160" s="3" t="s">
        <v>14</v>
      </c>
      <c r="F160" s="9">
        <v>32</v>
      </c>
      <c r="G160" s="20">
        <v>1</v>
      </c>
    </row>
    <row r="161" spans="1:8" ht="15" x14ac:dyDescent="0.25">
      <c r="A161" s="2">
        <v>160</v>
      </c>
      <c r="B161" s="8" t="s">
        <v>199</v>
      </c>
      <c r="C161" s="4" t="s">
        <v>10</v>
      </c>
      <c r="D161" s="4" t="s">
        <v>28</v>
      </c>
      <c r="E161" s="3" t="s">
        <v>14</v>
      </c>
      <c r="F161" s="9">
        <v>50</v>
      </c>
      <c r="G161" s="20">
        <v>1</v>
      </c>
    </row>
    <row r="162" spans="1:8" ht="15" x14ac:dyDescent="0.25">
      <c r="A162" s="2">
        <v>161</v>
      </c>
      <c r="B162" s="8" t="s">
        <v>200</v>
      </c>
      <c r="C162" s="4" t="s">
        <v>13</v>
      </c>
      <c r="D162" s="4" t="s">
        <v>7</v>
      </c>
      <c r="E162" s="3" t="s">
        <v>8</v>
      </c>
      <c r="F162" s="9">
        <v>51</v>
      </c>
      <c r="H162" s="19">
        <v>1</v>
      </c>
    </row>
    <row r="163" spans="1:8" ht="15" x14ac:dyDescent="0.25">
      <c r="A163" s="2">
        <v>162</v>
      </c>
      <c r="B163" s="6" t="s">
        <v>201</v>
      </c>
      <c r="C163" s="4" t="s">
        <v>17</v>
      </c>
      <c r="D163" s="4" t="s">
        <v>28</v>
      </c>
      <c r="E163" s="3" t="s">
        <v>8</v>
      </c>
      <c r="F163" s="9">
        <v>50</v>
      </c>
      <c r="H163" s="19">
        <v>1</v>
      </c>
    </row>
    <row r="164" spans="1:8" ht="15" x14ac:dyDescent="0.25">
      <c r="A164" s="2">
        <v>163</v>
      </c>
      <c r="B164" s="8" t="s">
        <v>202</v>
      </c>
      <c r="C164" s="4" t="s">
        <v>33</v>
      </c>
      <c r="D164" s="4" t="s">
        <v>28</v>
      </c>
      <c r="E164" s="3" t="s">
        <v>8</v>
      </c>
      <c r="F164" s="9">
        <v>55</v>
      </c>
      <c r="H164" s="19">
        <v>1</v>
      </c>
    </row>
    <row r="165" spans="1:8" ht="15" x14ac:dyDescent="0.25">
      <c r="A165" s="2">
        <v>164</v>
      </c>
      <c r="B165" s="8" t="s">
        <v>203</v>
      </c>
      <c r="C165" s="4" t="s">
        <v>13</v>
      </c>
      <c r="D165" s="4" t="s">
        <v>11</v>
      </c>
      <c r="E165" s="3" t="s">
        <v>8</v>
      </c>
      <c r="F165" s="9">
        <v>48</v>
      </c>
      <c r="H165" s="19">
        <v>1</v>
      </c>
    </row>
    <row r="166" spans="1:8" ht="15" x14ac:dyDescent="0.25">
      <c r="A166" s="2">
        <v>165</v>
      </c>
      <c r="B166" s="8" t="s">
        <v>204</v>
      </c>
      <c r="C166" s="4" t="s">
        <v>17</v>
      </c>
      <c r="D166" s="4" t="s">
        <v>95</v>
      </c>
      <c r="E166" s="3" t="s">
        <v>8</v>
      </c>
      <c r="F166" s="9">
        <v>57</v>
      </c>
      <c r="H166" s="19">
        <v>1</v>
      </c>
    </row>
    <row r="167" spans="1:8" ht="15" x14ac:dyDescent="0.25">
      <c r="A167" s="2">
        <v>166</v>
      </c>
      <c r="B167" s="8" t="s">
        <v>205</v>
      </c>
      <c r="C167" s="4" t="s">
        <v>13</v>
      </c>
      <c r="D167" s="4" t="s">
        <v>28</v>
      </c>
      <c r="E167" s="3" t="s">
        <v>8</v>
      </c>
      <c r="F167" s="9">
        <v>39</v>
      </c>
      <c r="H167" s="19">
        <v>1</v>
      </c>
    </row>
    <row r="168" spans="1:8" ht="15" x14ac:dyDescent="0.25">
      <c r="A168" s="2">
        <v>167</v>
      </c>
      <c r="B168" s="6" t="s">
        <v>206</v>
      </c>
      <c r="C168" s="4" t="s">
        <v>6</v>
      </c>
      <c r="D168" s="4" t="s">
        <v>7</v>
      </c>
      <c r="E168" s="3" t="s">
        <v>8</v>
      </c>
      <c r="F168" s="9">
        <v>55</v>
      </c>
      <c r="H168" s="19">
        <v>1</v>
      </c>
    </row>
    <row r="169" spans="1:8" ht="15" x14ac:dyDescent="0.25">
      <c r="A169" s="2">
        <v>168</v>
      </c>
      <c r="B169" s="8" t="s">
        <v>207</v>
      </c>
      <c r="C169" s="4" t="s">
        <v>33</v>
      </c>
      <c r="D169" s="4" t="s">
        <v>19</v>
      </c>
      <c r="E169" s="3" t="s">
        <v>8</v>
      </c>
      <c r="F169" s="9">
        <v>33</v>
      </c>
      <c r="H169" s="19">
        <v>1</v>
      </c>
    </row>
    <row r="170" spans="1:8" ht="15" x14ac:dyDescent="0.25">
      <c r="A170" s="2">
        <v>169</v>
      </c>
      <c r="B170" s="8" t="s">
        <v>208</v>
      </c>
      <c r="C170" s="4" t="s">
        <v>6</v>
      </c>
      <c r="D170" s="4" t="s">
        <v>7</v>
      </c>
      <c r="E170" s="3" t="s">
        <v>14</v>
      </c>
      <c r="F170" s="9">
        <v>45</v>
      </c>
      <c r="G170" s="20">
        <v>1</v>
      </c>
    </row>
    <row r="171" spans="1:8" ht="15" x14ac:dyDescent="0.25">
      <c r="A171" s="2">
        <v>170</v>
      </c>
      <c r="B171" s="6" t="s">
        <v>209</v>
      </c>
      <c r="C171" s="4" t="s">
        <v>33</v>
      </c>
      <c r="D171" s="4" t="s">
        <v>7</v>
      </c>
      <c r="E171" s="3" t="s">
        <v>14</v>
      </c>
      <c r="F171" s="9">
        <v>54</v>
      </c>
      <c r="G171" s="20">
        <v>1</v>
      </c>
    </row>
    <row r="172" spans="1:8" ht="15" x14ac:dyDescent="0.25">
      <c r="A172" s="2">
        <v>171</v>
      </c>
      <c r="B172" s="6" t="s">
        <v>210</v>
      </c>
      <c r="C172" s="4" t="s">
        <v>17</v>
      </c>
      <c r="D172" s="4" t="s">
        <v>7</v>
      </c>
      <c r="E172" s="3" t="s">
        <v>14</v>
      </c>
      <c r="F172" s="9">
        <v>46</v>
      </c>
      <c r="G172" s="20">
        <v>1</v>
      </c>
    </row>
    <row r="173" spans="1:8" ht="15" x14ac:dyDescent="0.25">
      <c r="A173" s="2">
        <v>172</v>
      </c>
      <c r="B173" s="6" t="s">
        <v>211</v>
      </c>
      <c r="C173" s="4" t="s">
        <v>57</v>
      </c>
      <c r="D173" s="4" t="s">
        <v>11</v>
      </c>
      <c r="E173" s="3" t="s">
        <v>14</v>
      </c>
      <c r="F173" s="9">
        <v>50</v>
      </c>
      <c r="G173" s="20">
        <v>1</v>
      </c>
    </row>
    <row r="174" spans="1:8" ht="15" x14ac:dyDescent="0.25">
      <c r="A174" s="2">
        <v>173</v>
      </c>
      <c r="B174" s="6" t="s">
        <v>212</v>
      </c>
      <c r="C174" s="4" t="s">
        <v>27</v>
      </c>
      <c r="D174" s="4" t="s">
        <v>7</v>
      </c>
      <c r="E174" s="3" t="s">
        <v>14</v>
      </c>
      <c r="F174" s="9">
        <v>57</v>
      </c>
      <c r="G174" s="20">
        <v>1</v>
      </c>
    </row>
    <row r="175" spans="1:8" ht="15" x14ac:dyDescent="0.25">
      <c r="A175" s="2">
        <v>174</v>
      </c>
      <c r="B175" s="6" t="s">
        <v>213</v>
      </c>
      <c r="C175" s="4" t="s">
        <v>33</v>
      </c>
      <c r="D175" s="4" t="s">
        <v>95</v>
      </c>
      <c r="E175" s="3" t="s">
        <v>14</v>
      </c>
      <c r="F175" s="9">
        <v>59</v>
      </c>
      <c r="G175" s="20">
        <v>1</v>
      </c>
    </row>
    <row r="176" spans="1:8" ht="15" x14ac:dyDescent="0.25">
      <c r="A176" s="2">
        <v>175</v>
      </c>
      <c r="B176" s="6" t="s">
        <v>214</v>
      </c>
      <c r="C176" s="4" t="s">
        <v>84</v>
      </c>
      <c r="D176" s="4" t="s">
        <v>7</v>
      </c>
      <c r="E176" s="3" t="s">
        <v>14</v>
      </c>
      <c r="F176" s="9">
        <v>53</v>
      </c>
      <c r="G176" s="20">
        <v>1</v>
      </c>
    </row>
    <row r="177" spans="1:7" ht="15" x14ac:dyDescent="0.25">
      <c r="A177" s="2">
        <v>176</v>
      </c>
      <c r="B177" s="6" t="s">
        <v>215</v>
      </c>
      <c r="C177" s="4" t="s">
        <v>17</v>
      </c>
      <c r="D177" s="4" t="s">
        <v>142</v>
      </c>
      <c r="E177" s="3" t="s">
        <v>14</v>
      </c>
      <c r="F177" s="9">
        <v>58</v>
      </c>
      <c r="G177" s="20">
        <v>1</v>
      </c>
    </row>
    <row r="178" spans="1:7" ht="15" x14ac:dyDescent="0.25">
      <c r="A178" s="2">
        <v>177</v>
      </c>
      <c r="B178" s="6" t="s">
        <v>216</v>
      </c>
      <c r="C178" s="4" t="s">
        <v>17</v>
      </c>
      <c r="D178" s="4" t="s">
        <v>19</v>
      </c>
      <c r="E178" s="3" t="s">
        <v>14</v>
      </c>
      <c r="F178" s="9">
        <v>57</v>
      </c>
      <c r="G178" s="20">
        <v>1</v>
      </c>
    </row>
    <row r="179" spans="1:7" ht="15" x14ac:dyDescent="0.25">
      <c r="A179" s="2">
        <v>178</v>
      </c>
      <c r="B179" s="6" t="s">
        <v>217</v>
      </c>
      <c r="C179" s="4" t="s">
        <v>30</v>
      </c>
      <c r="D179" s="4" t="s">
        <v>28</v>
      </c>
      <c r="E179" s="3" t="s">
        <v>14</v>
      </c>
      <c r="F179" s="9">
        <v>53</v>
      </c>
      <c r="G179" s="20">
        <v>1</v>
      </c>
    </row>
    <row r="180" spans="1:7" ht="15" x14ac:dyDescent="0.25">
      <c r="A180" s="2">
        <v>179</v>
      </c>
      <c r="B180" s="6" t="s">
        <v>218</v>
      </c>
      <c r="C180" s="4" t="s">
        <v>45</v>
      </c>
      <c r="D180" s="4" t="s">
        <v>7</v>
      </c>
      <c r="E180" s="3" t="s">
        <v>14</v>
      </c>
      <c r="F180" s="9">
        <v>36</v>
      </c>
      <c r="G180" s="20">
        <v>1</v>
      </c>
    </row>
    <row r="181" spans="1:7" ht="15" x14ac:dyDescent="0.25">
      <c r="A181" s="2">
        <v>180</v>
      </c>
      <c r="B181" s="6" t="s">
        <v>219</v>
      </c>
      <c r="C181" s="4" t="s">
        <v>84</v>
      </c>
      <c r="D181" s="4" t="s">
        <v>7</v>
      </c>
      <c r="E181" s="3" t="s">
        <v>14</v>
      </c>
      <c r="F181" s="9">
        <v>53</v>
      </c>
      <c r="G181" s="20">
        <v>1</v>
      </c>
    </row>
    <row r="182" spans="1:7" ht="15" x14ac:dyDescent="0.25">
      <c r="A182" s="2">
        <v>181</v>
      </c>
      <c r="B182" s="8" t="s">
        <v>220</v>
      </c>
      <c r="C182" s="4" t="s">
        <v>30</v>
      </c>
      <c r="D182" s="4" t="s">
        <v>11</v>
      </c>
      <c r="E182" s="3" t="s">
        <v>14</v>
      </c>
      <c r="F182" s="9">
        <v>55</v>
      </c>
      <c r="G182" s="20">
        <v>1</v>
      </c>
    </row>
    <row r="183" spans="1:7" ht="15" x14ac:dyDescent="0.25">
      <c r="A183" s="2">
        <v>182</v>
      </c>
      <c r="B183" s="8" t="s">
        <v>221</v>
      </c>
      <c r="C183" s="4" t="s">
        <v>66</v>
      </c>
      <c r="D183" s="4" t="s">
        <v>28</v>
      </c>
      <c r="E183" s="3" t="s">
        <v>14</v>
      </c>
      <c r="F183" s="9">
        <v>39</v>
      </c>
      <c r="G183" s="20">
        <v>1</v>
      </c>
    </row>
    <row r="184" spans="1:7" ht="15" x14ac:dyDescent="0.25">
      <c r="A184" s="2">
        <v>183</v>
      </c>
      <c r="B184" s="8" t="s">
        <v>222</v>
      </c>
      <c r="C184" s="4" t="s">
        <v>30</v>
      </c>
      <c r="D184" s="4" t="s">
        <v>11</v>
      </c>
      <c r="E184" s="3" t="s">
        <v>14</v>
      </c>
      <c r="F184" s="9">
        <v>52</v>
      </c>
      <c r="G184" s="20">
        <v>1</v>
      </c>
    </row>
    <row r="185" spans="1:7" ht="15" x14ac:dyDescent="0.25">
      <c r="A185" s="2">
        <v>184</v>
      </c>
      <c r="B185" s="8" t="s">
        <v>223</v>
      </c>
      <c r="C185" s="4" t="s">
        <v>40</v>
      </c>
      <c r="D185" s="4" t="s">
        <v>11</v>
      </c>
      <c r="E185" s="3" t="s">
        <v>14</v>
      </c>
      <c r="F185" s="9">
        <v>53</v>
      </c>
      <c r="G185" s="20">
        <v>1</v>
      </c>
    </row>
    <row r="186" spans="1:7" ht="15" x14ac:dyDescent="0.25">
      <c r="A186" s="2">
        <v>185</v>
      </c>
      <c r="B186" s="8" t="s">
        <v>224</v>
      </c>
      <c r="C186" s="4" t="s">
        <v>6</v>
      </c>
      <c r="D186" s="4" t="s">
        <v>28</v>
      </c>
      <c r="E186" s="3" t="s">
        <v>14</v>
      </c>
      <c r="F186" s="9">
        <v>51</v>
      </c>
      <c r="G186" s="20">
        <v>1</v>
      </c>
    </row>
    <row r="187" spans="1:7" ht="15" x14ac:dyDescent="0.25">
      <c r="A187" s="2">
        <v>186</v>
      </c>
      <c r="B187" s="8" t="s">
        <v>225</v>
      </c>
      <c r="C187" s="4" t="s">
        <v>17</v>
      </c>
      <c r="D187" s="4" t="s">
        <v>28</v>
      </c>
      <c r="E187" s="3" t="s">
        <v>14</v>
      </c>
      <c r="F187" s="9">
        <v>54</v>
      </c>
      <c r="G187" s="20">
        <v>1</v>
      </c>
    </row>
    <row r="188" spans="1:7" ht="15" x14ac:dyDescent="0.25">
      <c r="A188" s="2">
        <v>187</v>
      </c>
      <c r="B188" s="8" t="s">
        <v>226</v>
      </c>
      <c r="C188" s="4" t="s">
        <v>47</v>
      </c>
      <c r="D188" s="4" t="s">
        <v>28</v>
      </c>
      <c r="E188" s="3" t="s">
        <v>14</v>
      </c>
      <c r="F188" s="9">
        <v>46</v>
      </c>
      <c r="G188" s="20">
        <v>1</v>
      </c>
    </row>
    <row r="189" spans="1:7" ht="15" x14ac:dyDescent="0.25">
      <c r="A189" s="2">
        <v>188</v>
      </c>
      <c r="B189" s="8" t="s">
        <v>227</v>
      </c>
      <c r="C189" s="4" t="s">
        <v>33</v>
      </c>
      <c r="D189" s="4" t="s">
        <v>7</v>
      </c>
      <c r="E189" s="3" t="s">
        <v>14</v>
      </c>
      <c r="F189" s="9">
        <v>47</v>
      </c>
      <c r="G189" s="20">
        <v>1</v>
      </c>
    </row>
    <row r="190" spans="1:7" ht="15" x14ac:dyDescent="0.25">
      <c r="A190" s="2">
        <v>189</v>
      </c>
      <c r="B190" s="8" t="s">
        <v>228</v>
      </c>
      <c r="C190" s="4" t="s">
        <v>17</v>
      </c>
      <c r="D190" s="4" t="s">
        <v>7</v>
      </c>
      <c r="E190" s="3" t="s">
        <v>14</v>
      </c>
      <c r="F190" s="9">
        <v>60</v>
      </c>
      <c r="G190" s="20">
        <v>1</v>
      </c>
    </row>
    <row r="191" spans="1:7" ht="15" x14ac:dyDescent="0.25">
      <c r="A191" s="2">
        <v>190</v>
      </c>
      <c r="B191" s="8" t="s">
        <v>229</v>
      </c>
      <c r="C191" s="4" t="s">
        <v>6</v>
      </c>
      <c r="D191" s="4" t="s">
        <v>28</v>
      </c>
      <c r="E191" s="3" t="s">
        <v>14</v>
      </c>
      <c r="F191" s="9">
        <v>49</v>
      </c>
      <c r="G191" s="20">
        <v>1</v>
      </c>
    </row>
    <row r="192" spans="1:7" ht="15" x14ac:dyDescent="0.25">
      <c r="A192" s="2">
        <v>191</v>
      </c>
      <c r="B192" s="6" t="s">
        <v>230</v>
      </c>
      <c r="C192" s="4" t="s">
        <v>17</v>
      </c>
      <c r="D192" s="4" t="s">
        <v>11</v>
      </c>
      <c r="E192" s="3" t="s">
        <v>14</v>
      </c>
      <c r="F192" s="9">
        <v>51</v>
      </c>
      <c r="G192" s="20">
        <v>1</v>
      </c>
    </row>
    <row r="193" spans="1:8" ht="15" x14ac:dyDescent="0.25">
      <c r="A193" s="2">
        <v>192</v>
      </c>
      <c r="B193" s="6" t="s">
        <v>231</v>
      </c>
      <c r="C193" s="4" t="s">
        <v>13</v>
      </c>
      <c r="D193" s="4" t="s">
        <v>11</v>
      </c>
      <c r="E193" s="3" t="s">
        <v>14</v>
      </c>
      <c r="F193" s="9">
        <v>55</v>
      </c>
      <c r="G193" s="20">
        <v>1</v>
      </c>
    </row>
    <row r="194" spans="1:8" ht="15" x14ac:dyDescent="0.25">
      <c r="A194" s="2">
        <v>193</v>
      </c>
      <c r="B194" s="8" t="s">
        <v>232</v>
      </c>
      <c r="C194" s="4" t="s">
        <v>13</v>
      </c>
      <c r="D194" s="4" t="s">
        <v>233</v>
      </c>
      <c r="E194" s="3" t="s">
        <v>14</v>
      </c>
      <c r="F194" s="9">
        <v>50</v>
      </c>
      <c r="G194" s="20">
        <v>1</v>
      </c>
    </row>
    <row r="195" spans="1:8" ht="15" x14ac:dyDescent="0.25">
      <c r="A195" s="2">
        <v>194</v>
      </c>
      <c r="B195" s="8" t="s">
        <v>234</v>
      </c>
      <c r="C195" s="4" t="s">
        <v>17</v>
      </c>
      <c r="D195" s="4" t="s">
        <v>7</v>
      </c>
      <c r="E195" s="3" t="s">
        <v>8</v>
      </c>
      <c r="F195" s="9">
        <v>51</v>
      </c>
      <c r="H195" s="19">
        <v>1</v>
      </c>
    </row>
    <row r="196" spans="1:8" ht="15" x14ac:dyDescent="0.25">
      <c r="A196" s="2">
        <v>195</v>
      </c>
      <c r="B196" s="8" t="s">
        <v>235</v>
      </c>
      <c r="C196" s="4" t="s">
        <v>144</v>
      </c>
      <c r="D196" s="4" t="s">
        <v>7</v>
      </c>
      <c r="E196" s="3" t="s">
        <v>14</v>
      </c>
      <c r="F196" s="9">
        <v>65</v>
      </c>
      <c r="G196" s="20">
        <v>1</v>
      </c>
    </row>
    <row r="197" spans="1:8" ht="15" x14ac:dyDescent="0.25">
      <c r="A197" s="2">
        <v>196</v>
      </c>
      <c r="B197" s="8" t="s">
        <v>236</v>
      </c>
      <c r="C197" s="4" t="s">
        <v>57</v>
      </c>
      <c r="D197" s="4" t="s">
        <v>7</v>
      </c>
      <c r="E197" s="3" t="s">
        <v>14</v>
      </c>
      <c r="F197" s="9">
        <v>57</v>
      </c>
      <c r="G197" s="20">
        <v>1</v>
      </c>
    </row>
    <row r="198" spans="1:8" ht="15" x14ac:dyDescent="0.25">
      <c r="A198" s="2">
        <v>197</v>
      </c>
      <c r="B198" s="8" t="s">
        <v>237</v>
      </c>
      <c r="C198" s="4" t="s">
        <v>66</v>
      </c>
      <c r="D198" s="4" t="s">
        <v>7</v>
      </c>
      <c r="E198" s="3" t="s">
        <v>14</v>
      </c>
      <c r="F198" s="9">
        <v>66</v>
      </c>
      <c r="G198" s="20">
        <v>1</v>
      </c>
    </row>
    <row r="199" spans="1:8" ht="15" x14ac:dyDescent="0.25">
      <c r="A199" s="2">
        <v>198</v>
      </c>
      <c r="B199" s="8" t="s">
        <v>238</v>
      </c>
      <c r="C199" s="4" t="s">
        <v>64</v>
      </c>
      <c r="D199" s="4" t="s">
        <v>7</v>
      </c>
      <c r="E199" s="3" t="s">
        <v>14</v>
      </c>
      <c r="F199" s="9">
        <v>42</v>
      </c>
      <c r="G199" s="20">
        <v>1</v>
      </c>
    </row>
    <row r="200" spans="1:8" ht="15" x14ac:dyDescent="0.25">
      <c r="A200" s="2">
        <v>199</v>
      </c>
      <c r="B200" s="8" t="s">
        <v>239</v>
      </c>
      <c r="C200" s="4" t="s">
        <v>17</v>
      </c>
      <c r="D200" s="4" t="s">
        <v>28</v>
      </c>
      <c r="E200" s="3" t="s">
        <v>14</v>
      </c>
      <c r="F200" s="9">
        <v>45</v>
      </c>
      <c r="G200" s="20">
        <v>1</v>
      </c>
    </row>
    <row r="201" spans="1:8" ht="15" x14ac:dyDescent="0.25">
      <c r="A201" s="2">
        <v>200</v>
      </c>
      <c r="B201" s="8" t="s">
        <v>240</v>
      </c>
      <c r="C201" s="4" t="s">
        <v>17</v>
      </c>
      <c r="D201" s="4" t="s">
        <v>11</v>
      </c>
      <c r="E201" s="3" t="s">
        <v>14</v>
      </c>
      <c r="F201" s="9">
        <v>37</v>
      </c>
      <c r="G201" s="20">
        <v>1</v>
      </c>
    </row>
    <row r="202" spans="1:8" ht="15" x14ac:dyDescent="0.25">
      <c r="A202" s="2">
        <v>201</v>
      </c>
      <c r="B202" s="10" t="s">
        <v>241</v>
      </c>
      <c r="C202" s="11" t="s">
        <v>33</v>
      </c>
      <c r="D202" s="11" t="s">
        <v>28</v>
      </c>
      <c r="E202" s="12" t="s">
        <v>14</v>
      </c>
      <c r="F202" s="9">
        <v>58</v>
      </c>
      <c r="G202" s="20">
        <v>1</v>
      </c>
    </row>
    <row r="203" spans="1:8" ht="15" x14ac:dyDescent="0.25">
      <c r="A203" s="2">
        <v>202</v>
      </c>
      <c r="B203" s="10" t="s">
        <v>242</v>
      </c>
      <c r="C203" s="11" t="s">
        <v>47</v>
      </c>
      <c r="D203" s="11" t="s">
        <v>28</v>
      </c>
      <c r="E203" s="12" t="s">
        <v>14</v>
      </c>
      <c r="F203" s="9">
        <v>54</v>
      </c>
      <c r="G203" s="20">
        <v>1</v>
      </c>
    </row>
    <row r="204" spans="1:8" ht="15" x14ac:dyDescent="0.25">
      <c r="A204" s="2">
        <v>203</v>
      </c>
      <c r="B204" s="10" t="s">
        <v>243</v>
      </c>
      <c r="C204" s="11" t="s">
        <v>66</v>
      </c>
      <c r="D204" s="11" t="s">
        <v>7</v>
      </c>
      <c r="E204" s="12" t="s">
        <v>14</v>
      </c>
      <c r="F204" s="9">
        <v>30</v>
      </c>
      <c r="G204" s="20">
        <v>1</v>
      </c>
    </row>
    <row r="205" spans="1:8" ht="15" x14ac:dyDescent="0.25">
      <c r="A205" s="2">
        <v>204</v>
      </c>
      <c r="B205" s="10" t="s">
        <v>244</v>
      </c>
      <c r="C205" s="11" t="s">
        <v>33</v>
      </c>
      <c r="D205" s="11" t="s">
        <v>28</v>
      </c>
      <c r="E205" s="12" t="s">
        <v>8</v>
      </c>
      <c r="F205" s="9">
        <v>43</v>
      </c>
      <c r="H205" s="19">
        <v>1</v>
      </c>
    </row>
    <row r="206" spans="1:8" ht="15" x14ac:dyDescent="0.25">
      <c r="A206" s="2">
        <v>205</v>
      </c>
      <c r="B206" s="10" t="s">
        <v>245</v>
      </c>
      <c r="C206" s="11" t="s">
        <v>57</v>
      </c>
      <c r="D206" s="11" t="s">
        <v>28</v>
      </c>
      <c r="E206" s="12" t="s">
        <v>14</v>
      </c>
      <c r="F206" s="9">
        <v>27</v>
      </c>
      <c r="G206" s="20">
        <v>1</v>
      </c>
    </row>
    <row r="207" spans="1:8" ht="15" x14ac:dyDescent="0.25">
      <c r="A207" s="2">
        <v>206</v>
      </c>
      <c r="B207" s="10" t="s">
        <v>246</v>
      </c>
      <c r="C207" s="12" t="s">
        <v>17</v>
      </c>
      <c r="D207" s="11" t="s">
        <v>38</v>
      </c>
      <c r="E207" s="12" t="s">
        <v>14</v>
      </c>
      <c r="F207" s="9">
        <v>28</v>
      </c>
      <c r="G207" s="20">
        <v>1</v>
      </c>
    </row>
    <row r="208" spans="1:8" ht="15" x14ac:dyDescent="0.25">
      <c r="A208" s="2">
        <v>207</v>
      </c>
      <c r="B208" s="10" t="s">
        <v>247</v>
      </c>
      <c r="C208" s="11" t="s">
        <v>30</v>
      </c>
      <c r="D208" s="11" t="s">
        <v>11</v>
      </c>
      <c r="E208" s="12" t="s">
        <v>8</v>
      </c>
      <c r="F208" s="9">
        <v>50</v>
      </c>
      <c r="H208" s="19">
        <v>1</v>
      </c>
    </row>
    <row r="209" spans="1:8" ht="15" x14ac:dyDescent="0.25">
      <c r="A209" s="2">
        <v>208</v>
      </c>
      <c r="B209" s="10" t="s">
        <v>248</v>
      </c>
      <c r="C209" s="11" t="s">
        <v>13</v>
      </c>
      <c r="D209" s="11" t="s">
        <v>28</v>
      </c>
      <c r="E209" s="12" t="s">
        <v>14</v>
      </c>
      <c r="F209" s="9">
        <v>37</v>
      </c>
      <c r="G209" s="20">
        <v>1</v>
      </c>
    </row>
    <row r="210" spans="1:8" ht="15" x14ac:dyDescent="0.25">
      <c r="A210" s="2">
        <v>209</v>
      </c>
      <c r="B210" s="10" t="s">
        <v>249</v>
      </c>
      <c r="C210" s="11" t="s">
        <v>17</v>
      </c>
      <c r="D210" s="11" t="s">
        <v>28</v>
      </c>
      <c r="E210" s="12" t="s">
        <v>14</v>
      </c>
      <c r="F210" s="9">
        <v>56</v>
      </c>
      <c r="G210" s="20">
        <v>1</v>
      </c>
    </row>
    <row r="211" spans="1:8" ht="15" x14ac:dyDescent="0.25">
      <c r="A211" s="2">
        <v>210</v>
      </c>
      <c r="B211" s="10" t="s">
        <v>250</v>
      </c>
      <c r="C211" s="11" t="s">
        <v>64</v>
      </c>
      <c r="D211" s="11" t="s">
        <v>28</v>
      </c>
      <c r="E211" s="12" t="s">
        <v>14</v>
      </c>
      <c r="F211" s="9">
        <v>34</v>
      </c>
      <c r="G211" s="20">
        <v>1</v>
      </c>
    </row>
    <row r="212" spans="1:8" ht="15" x14ac:dyDescent="0.25">
      <c r="A212" s="2">
        <v>211</v>
      </c>
      <c r="B212" s="10" t="s">
        <v>251</v>
      </c>
      <c r="C212" s="11" t="s">
        <v>22</v>
      </c>
      <c r="D212" s="11" t="s">
        <v>11</v>
      </c>
      <c r="E212" s="12" t="s">
        <v>14</v>
      </c>
      <c r="F212" s="9">
        <v>57</v>
      </c>
      <c r="G212" s="20">
        <v>1</v>
      </c>
    </row>
    <row r="213" spans="1:8" ht="15" x14ac:dyDescent="0.25">
      <c r="A213" s="2">
        <v>212</v>
      </c>
      <c r="B213" s="10" t="s">
        <v>252</v>
      </c>
      <c r="C213" s="11" t="s">
        <v>17</v>
      </c>
      <c r="D213" s="11" t="s">
        <v>28</v>
      </c>
      <c r="E213" s="12" t="s">
        <v>14</v>
      </c>
      <c r="F213" s="9">
        <v>60</v>
      </c>
      <c r="G213" s="20">
        <v>1</v>
      </c>
    </row>
    <row r="214" spans="1:8" ht="15" x14ac:dyDescent="0.25">
      <c r="A214" s="2">
        <v>213</v>
      </c>
      <c r="B214" s="10" t="s">
        <v>253</v>
      </c>
      <c r="C214" s="11" t="s">
        <v>57</v>
      </c>
      <c r="D214" s="11" t="s">
        <v>38</v>
      </c>
      <c r="E214" s="12" t="s">
        <v>14</v>
      </c>
      <c r="F214" s="9">
        <v>24</v>
      </c>
      <c r="G214" s="20">
        <v>1</v>
      </c>
    </row>
    <row r="215" spans="1:8" ht="15" x14ac:dyDescent="0.25">
      <c r="A215" s="2">
        <v>214</v>
      </c>
      <c r="B215" s="10" t="s">
        <v>254</v>
      </c>
      <c r="C215" s="11" t="s">
        <v>13</v>
      </c>
      <c r="D215" s="11" t="s">
        <v>7</v>
      </c>
      <c r="E215" s="12" t="s">
        <v>14</v>
      </c>
      <c r="F215" s="9">
        <v>54</v>
      </c>
      <c r="G215" s="20">
        <v>1</v>
      </c>
    </row>
    <row r="216" spans="1:8" ht="15" x14ac:dyDescent="0.25">
      <c r="A216" s="2">
        <v>215</v>
      </c>
      <c r="B216" s="10" t="s">
        <v>255</v>
      </c>
      <c r="C216" s="11" t="s">
        <v>17</v>
      </c>
      <c r="D216" s="11" t="s">
        <v>95</v>
      </c>
      <c r="E216" s="12" t="s">
        <v>14</v>
      </c>
      <c r="F216" s="9">
        <v>56</v>
      </c>
      <c r="G216" s="20">
        <v>1</v>
      </c>
    </row>
    <row r="217" spans="1:8" ht="15" x14ac:dyDescent="0.25">
      <c r="A217" s="2">
        <v>216</v>
      </c>
      <c r="B217" s="10" t="s">
        <v>256</v>
      </c>
      <c r="C217" s="11" t="s">
        <v>57</v>
      </c>
      <c r="D217" s="11" t="s">
        <v>11</v>
      </c>
      <c r="E217" s="12" t="s">
        <v>8</v>
      </c>
      <c r="F217" s="9">
        <v>59</v>
      </c>
      <c r="H217" s="19">
        <v>1</v>
      </c>
    </row>
    <row r="218" spans="1:8" ht="15" x14ac:dyDescent="0.25">
      <c r="A218" s="2">
        <v>217</v>
      </c>
      <c r="B218" s="10" t="s">
        <v>257</v>
      </c>
      <c r="C218" s="11" t="s">
        <v>17</v>
      </c>
      <c r="D218" s="11" t="s">
        <v>7</v>
      </c>
      <c r="E218" s="12" t="s">
        <v>8</v>
      </c>
      <c r="F218" s="9">
        <v>47</v>
      </c>
      <c r="H218" s="19">
        <v>1</v>
      </c>
    </row>
    <row r="219" spans="1:8" ht="15" x14ac:dyDescent="0.25">
      <c r="A219" s="2">
        <v>218</v>
      </c>
      <c r="B219" s="10" t="s">
        <v>258</v>
      </c>
      <c r="C219" s="11" t="s">
        <v>47</v>
      </c>
      <c r="D219" s="11" t="s">
        <v>28</v>
      </c>
      <c r="E219" s="12" t="s">
        <v>8</v>
      </c>
      <c r="F219" s="9">
        <v>52</v>
      </c>
      <c r="H219" s="19">
        <v>1</v>
      </c>
    </row>
    <row r="220" spans="1:8" ht="15" x14ac:dyDescent="0.25">
      <c r="A220" s="2">
        <v>219</v>
      </c>
      <c r="B220" s="10" t="s">
        <v>259</v>
      </c>
      <c r="C220" s="11" t="s">
        <v>13</v>
      </c>
      <c r="D220" s="11" t="s">
        <v>11</v>
      </c>
      <c r="E220" s="12" t="s">
        <v>8</v>
      </c>
      <c r="F220" s="9">
        <v>53</v>
      </c>
      <c r="H220" s="19">
        <v>1</v>
      </c>
    </row>
    <row r="221" spans="1:8" ht="15" x14ac:dyDescent="0.25">
      <c r="A221" s="2">
        <v>220</v>
      </c>
      <c r="B221" s="10" t="s">
        <v>260</v>
      </c>
      <c r="C221" s="11" t="s">
        <v>57</v>
      </c>
      <c r="D221" s="11" t="s">
        <v>7</v>
      </c>
      <c r="E221" s="12" t="s">
        <v>8</v>
      </c>
      <c r="F221" s="9">
        <v>54</v>
      </c>
      <c r="H221" s="19">
        <v>1</v>
      </c>
    </row>
    <row r="222" spans="1:8" ht="15" x14ac:dyDescent="0.25">
      <c r="A222" s="2">
        <v>221</v>
      </c>
      <c r="B222" s="8" t="s">
        <v>261</v>
      </c>
      <c r="C222" s="4" t="s">
        <v>13</v>
      </c>
      <c r="D222" s="4" t="s">
        <v>11</v>
      </c>
      <c r="E222" s="3" t="s">
        <v>8</v>
      </c>
      <c r="F222" s="9">
        <v>27</v>
      </c>
      <c r="H222" s="19">
        <v>1</v>
      </c>
    </row>
    <row r="223" spans="1:8" ht="15" x14ac:dyDescent="0.25">
      <c r="A223" s="2">
        <v>222</v>
      </c>
      <c r="B223" s="8" t="s">
        <v>262</v>
      </c>
      <c r="C223" s="4" t="s">
        <v>33</v>
      </c>
      <c r="D223" s="4" t="s">
        <v>7</v>
      </c>
      <c r="E223" s="3" t="s">
        <v>8</v>
      </c>
      <c r="F223" s="9">
        <v>52</v>
      </c>
      <c r="H223" s="19">
        <v>1</v>
      </c>
    </row>
    <row r="224" spans="1:8" ht="15" x14ac:dyDescent="0.25">
      <c r="A224" s="2">
        <v>223</v>
      </c>
      <c r="B224" s="8" t="s">
        <v>263</v>
      </c>
      <c r="C224" s="4" t="s">
        <v>57</v>
      </c>
      <c r="D224" s="4" t="s">
        <v>7</v>
      </c>
      <c r="E224" s="3" t="s">
        <v>8</v>
      </c>
      <c r="F224" s="9">
        <v>46</v>
      </c>
      <c r="H224" s="19">
        <v>1</v>
      </c>
    </row>
    <row r="225" spans="1:8" ht="15" x14ac:dyDescent="0.25">
      <c r="A225" s="2">
        <v>224</v>
      </c>
      <c r="B225" s="8" t="s">
        <v>264</v>
      </c>
      <c r="C225" s="4" t="s">
        <v>13</v>
      </c>
      <c r="D225" s="4" t="s">
        <v>28</v>
      </c>
      <c r="E225" s="3" t="s">
        <v>8</v>
      </c>
      <c r="F225" s="9">
        <v>49</v>
      </c>
      <c r="H225" s="19">
        <v>1</v>
      </c>
    </row>
    <row r="226" spans="1:8" ht="15" x14ac:dyDescent="0.25">
      <c r="A226" s="2">
        <v>225</v>
      </c>
      <c r="B226" s="8" t="s">
        <v>265</v>
      </c>
      <c r="C226" s="4" t="s">
        <v>6</v>
      </c>
      <c r="D226" s="4" t="s">
        <v>11</v>
      </c>
      <c r="E226" s="3" t="s">
        <v>8</v>
      </c>
      <c r="F226" s="9">
        <v>52</v>
      </c>
      <c r="H226" s="19">
        <v>1</v>
      </c>
    </row>
    <row r="227" spans="1:8" ht="15" x14ac:dyDescent="0.25">
      <c r="A227" s="2">
        <v>226</v>
      </c>
      <c r="B227" s="8" t="s">
        <v>266</v>
      </c>
      <c r="C227" s="4" t="s">
        <v>33</v>
      </c>
      <c r="D227" s="4" t="s">
        <v>7</v>
      </c>
      <c r="E227" s="3" t="s">
        <v>8</v>
      </c>
      <c r="F227" s="9">
        <v>50</v>
      </c>
      <c r="H227" s="19">
        <v>1</v>
      </c>
    </row>
    <row r="228" spans="1:8" ht="15" x14ac:dyDescent="0.25">
      <c r="A228" s="2">
        <v>227</v>
      </c>
      <c r="B228" s="8" t="s">
        <v>267</v>
      </c>
      <c r="C228" s="4" t="s">
        <v>13</v>
      </c>
      <c r="D228" s="4" t="s">
        <v>11</v>
      </c>
      <c r="E228" s="3" t="s">
        <v>14</v>
      </c>
      <c r="F228" s="9">
        <v>43</v>
      </c>
      <c r="G228" s="20">
        <v>1</v>
      </c>
    </row>
    <row r="229" spans="1:8" ht="15" x14ac:dyDescent="0.25">
      <c r="A229" s="2">
        <v>228</v>
      </c>
      <c r="B229" s="8" t="s">
        <v>268</v>
      </c>
      <c r="C229" s="4" t="s">
        <v>57</v>
      </c>
      <c r="D229" s="4" t="s">
        <v>28</v>
      </c>
      <c r="E229" s="3" t="s">
        <v>8</v>
      </c>
      <c r="F229" s="9">
        <v>38</v>
      </c>
      <c r="H229" s="19">
        <v>1</v>
      </c>
    </row>
    <row r="230" spans="1:8" ht="15" x14ac:dyDescent="0.25">
      <c r="A230" s="2">
        <v>229</v>
      </c>
      <c r="B230" s="8" t="s">
        <v>269</v>
      </c>
      <c r="C230" s="4" t="s">
        <v>84</v>
      </c>
      <c r="D230" s="4" t="s">
        <v>7</v>
      </c>
      <c r="E230" s="3" t="s">
        <v>8</v>
      </c>
      <c r="F230" s="9">
        <v>47</v>
      </c>
      <c r="H230" s="19">
        <v>1</v>
      </c>
    </row>
    <row r="231" spans="1:8" ht="15" x14ac:dyDescent="0.25">
      <c r="A231" s="2">
        <v>230</v>
      </c>
      <c r="B231" s="8" t="s">
        <v>270</v>
      </c>
      <c r="C231" s="4" t="s">
        <v>47</v>
      </c>
      <c r="D231" s="4" t="s">
        <v>11</v>
      </c>
      <c r="E231" s="3" t="s">
        <v>14</v>
      </c>
      <c r="F231" s="9">
        <v>56</v>
      </c>
      <c r="G231" s="20">
        <v>1</v>
      </c>
    </row>
    <row r="232" spans="1:8" ht="15" x14ac:dyDescent="0.25">
      <c r="B232" s="4"/>
      <c r="E232" s="13" t="s">
        <v>8</v>
      </c>
      <c r="F232" s="13" t="s">
        <v>14</v>
      </c>
      <c r="G232" s="12"/>
    </row>
    <row r="233" spans="1:8" ht="12.75" x14ac:dyDescent="0.2">
      <c r="E233" s="14">
        <v>82</v>
      </c>
      <c r="F233" s="14">
        <v>148</v>
      </c>
      <c r="G233" s="12"/>
    </row>
    <row r="234" spans="1:8" ht="70.5" customHeight="1" x14ac:dyDescent="0.2">
      <c r="E234" s="12"/>
      <c r="F234" s="12"/>
      <c r="G234" s="18" t="s">
        <v>271</v>
      </c>
    </row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8" r:id="rId76" xr:uid="{00000000-0004-0000-0000-00004B000000}"/>
    <hyperlink ref="B79" r:id="rId77" xr:uid="{00000000-0004-0000-0000-00004C000000}"/>
    <hyperlink ref="B80" r:id="rId78" xr:uid="{00000000-0004-0000-0000-00004D000000}"/>
    <hyperlink ref="B81" r:id="rId79" xr:uid="{00000000-0004-0000-0000-00004E000000}"/>
    <hyperlink ref="B82" r:id="rId80" xr:uid="{00000000-0004-0000-0000-00004F000000}"/>
    <hyperlink ref="B83" r:id="rId81" xr:uid="{00000000-0004-0000-0000-000050000000}"/>
    <hyperlink ref="B84" r:id="rId82" xr:uid="{00000000-0004-0000-0000-000051000000}"/>
    <hyperlink ref="B85" r:id="rId83" xr:uid="{00000000-0004-0000-0000-000052000000}"/>
    <hyperlink ref="B86" r:id="rId84" xr:uid="{00000000-0004-0000-0000-000053000000}"/>
    <hyperlink ref="B87" r:id="rId85" xr:uid="{00000000-0004-0000-0000-000054000000}"/>
    <hyperlink ref="B88" r:id="rId86" xr:uid="{00000000-0004-0000-0000-000055000000}"/>
    <hyperlink ref="B89" r:id="rId87" xr:uid="{00000000-0004-0000-0000-000056000000}"/>
    <hyperlink ref="B90" r:id="rId88" xr:uid="{00000000-0004-0000-0000-000057000000}"/>
    <hyperlink ref="B91" r:id="rId89" xr:uid="{00000000-0004-0000-0000-000058000000}"/>
    <hyperlink ref="B92" r:id="rId90" xr:uid="{00000000-0004-0000-0000-000059000000}"/>
    <hyperlink ref="B93" r:id="rId91" xr:uid="{00000000-0004-0000-0000-00005A000000}"/>
    <hyperlink ref="B94" r:id="rId92" xr:uid="{00000000-0004-0000-0000-00005B000000}"/>
    <hyperlink ref="B95" r:id="rId93" xr:uid="{00000000-0004-0000-0000-00005C000000}"/>
    <hyperlink ref="B96" r:id="rId94" xr:uid="{00000000-0004-0000-0000-00005D000000}"/>
    <hyperlink ref="B97" r:id="rId95" xr:uid="{00000000-0004-0000-0000-00005E000000}"/>
    <hyperlink ref="B98" r:id="rId96" xr:uid="{00000000-0004-0000-0000-00005F000000}"/>
    <hyperlink ref="B99" r:id="rId97" xr:uid="{00000000-0004-0000-0000-000060000000}"/>
    <hyperlink ref="B100" r:id="rId98" xr:uid="{00000000-0004-0000-0000-000061000000}"/>
    <hyperlink ref="B101" r:id="rId99" xr:uid="{00000000-0004-0000-0000-000062000000}"/>
    <hyperlink ref="B102" r:id="rId100" xr:uid="{00000000-0004-0000-0000-000063000000}"/>
    <hyperlink ref="B103" r:id="rId101" xr:uid="{00000000-0004-0000-0000-000064000000}"/>
    <hyperlink ref="B104" r:id="rId102" xr:uid="{00000000-0004-0000-0000-000065000000}"/>
    <hyperlink ref="B105" r:id="rId103" xr:uid="{00000000-0004-0000-0000-000066000000}"/>
    <hyperlink ref="B106" r:id="rId104" xr:uid="{00000000-0004-0000-0000-000067000000}"/>
    <hyperlink ref="B108" r:id="rId105" xr:uid="{00000000-0004-0000-0000-000068000000}"/>
    <hyperlink ref="B109" r:id="rId106" xr:uid="{00000000-0004-0000-0000-000069000000}"/>
    <hyperlink ref="B110" r:id="rId107" xr:uid="{00000000-0004-0000-0000-00006A000000}"/>
    <hyperlink ref="B111" r:id="rId108" xr:uid="{00000000-0004-0000-0000-00006B000000}"/>
    <hyperlink ref="B112" r:id="rId109" xr:uid="{00000000-0004-0000-0000-00006C000000}"/>
    <hyperlink ref="B113" r:id="rId110" xr:uid="{00000000-0004-0000-0000-00006D000000}"/>
    <hyperlink ref="B114" r:id="rId111" xr:uid="{00000000-0004-0000-0000-00006E000000}"/>
    <hyperlink ref="B115" r:id="rId112" xr:uid="{00000000-0004-0000-0000-00006F000000}"/>
    <hyperlink ref="B116" r:id="rId113" xr:uid="{00000000-0004-0000-0000-000070000000}"/>
    <hyperlink ref="B117" r:id="rId114" xr:uid="{00000000-0004-0000-0000-000071000000}"/>
    <hyperlink ref="B118" r:id="rId115" xr:uid="{00000000-0004-0000-0000-000072000000}"/>
    <hyperlink ref="B119" r:id="rId116" xr:uid="{00000000-0004-0000-0000-000073000000}"/>
    <hyperlink ref="B120" r:id="rId117" xr:uid="{00000000-0004-0000-0000-000074000000}"/>
    <hyperlink ref="B121" r:id="rId118" xr:uid="{00000000-0004-0000-0000-000075000000}"/>
    <hyperlink ref="B122" r:id="rId119" xr:uid="{00000000-0004-0000-0000-000076000000}"/>
    <hyperlink ref="B123" r:id="rId120" xr:uid="{00000000-0004-0000-0000-000077000000}"/>
    <hyperlink ref="B124" r:id="rId121" xr:uid="{00000000-0004-0000-0000-000078000000}"/>
    <hyperlink ref="B125" r:id="rId122" xr:uid="{00000000-0004-0000-0000-000079000000}"/>
    <hyperlink ref="B126" r:id="rId123" xr:uid="{00000000-0004-0000-0000-00007A000000}"/>
    <hyperlink ref="B127" r:id="rId124" xr:uid="{00000000-0004-0000-0000-00007B000000}"/>
    <hyperlink ref="B128" r:id="rId125" xr:uid="{00000000-0004-0000-0000-00007C000000}"/>
    <hyperlink ref="B129" r:id="rId126" xr:uid="{00000000-0004-0000-0000-00007D000000}"/>
    <hyperlink ref="B130" r:id="rId127" xr:uid="{00000000-0004-0000-0000-00007E000000}"/>
    <hyperlink ref="B131" r:id="rId128" xr:uid="{00000000-0004-0000-0000-00007F000000}"/>
    <hyperlink ref="B132" r:id="rId129" xr:uid="{00000000-0004-0000-0000-000080000000}"/>
    <hyperlink ref="B133" r:id="rId130" xr:uid="{00000000-0004-0000-0000-000081000000}"/>
    <hyperlink ref="B134" r:id="rId131" xr:uid="{00000000-0004-0000-0000-000082000000}"/>
    <hyperlink ref="B135" r:id="rId132" xr:uid="{00000000-0004-0000-0000-000083000000}"/>
    <hyperlink ref="B136" r:id="rId133" xr:uid="{00000000-0004-0000-0000-000084000000}"/>
    <hyperlink ref="B137" r:id="rId134" xr:uid="{00000000-0004-0000-0000-000085000000}"/>
    <hyperlink ref="B138" r:id="rId135" xr:uid="{00000000-0004-0000-0000-000086000000}"/>
    <hyperlink ref="B139" r:id="rId136" xr:uid="{00000000-0004-0000-0000-000087000000}"/>
    <hyperlink ref="B140" r:id="rId137" xr:uid="{00000000-0004-0000-0000-000088000000}"/>
    <hyperlink ref="B141" r:id="rId138" xr:uid="{00000000-0004-0000-0000-000089000000}"/>
    <hyperlink ref="B142" r:id="rId139" xr:uid="{00000000-0004-0000-0000-00008A000000}"/>
    <hyperlink ref="B143" r:id="rId140" xr:uid="{00000000-0004-0000-0000-00008B000000}"/>
    <hyperlink ref="B144" r:id="rId141" xr:uid="{00000000-0004-0000-0000-00008C000000}"/>
    <hyperlink ref="B145" r:id="rId142" xr:uid="{00000000-0004-0000-0000-00008D000000}"/>
    <hyperlink ref="B146" r:id="rId143" xr:uid="{00000000-0004-0000-0000-00008E000000}"/>
    <hyperlink ref="B147" r:id="rId144" xr:uid="{00000000-0004-0000-0000-00008F000000}"/>
    <hyperlink ref="B148" r:id="rId145" xr:uid="{00000000-0004-0000-0000-000090000000}"/>
    <hyperlink ref="B149" r:id="rId146" xr:uid="{00000000-0004-0000-0000-000091000000}"/>
    <hyperlink ref="B150" r:id="rId147" xr:uid="{00000000-0004-0000-0000-000092000000}"/>
    <hyperlink ref="B151" r:id="rId148" xr:uid="{00000000-0004-0000-0000-000093000000}"/>
    <hyperlink ref="B152" r:id="rId149" xr:uid="{00000000-0004-0000-0000-000094000000}"/>
    <hyperlink ref="B153" r:id="rId150" xr:uid="{00000000-0004-0000-0000-000095000000}"/>
    <hyperlink ref="B154" r:id="rId151" xr:uid="{00000000-0004-0000-0000-000096000000}"/>
    <hyperlink ref="B155" r:id="rId152" xr:uid="{00000000-0004-0000-0000-000097000000}"/>
    <hyperlink ref="B156" r:id="rId153" xr:uid="{00000000-0004-0000-0000-000098000000}"/>
    <hyperlink ref="B157" r:id="rId154" xr:uid="{00000000-0004-0000-0000-000099000000}"/>
    <hyperlink ref="B158" r:id="rId155" xr:uid="{00000000-0004-0000-0000-00009A000000}"/>
    <hyperlink ref="B159" r:id="rId156" xr:uid="{00000000-0004-0000-0000-00009B000000}"/>
    <hyperlink ref="B160" r:id="rId157" xr:uid="{00000000-0004-0000-0000-00009C000000}"/>
    <hyperlink ref="B161" r:id="rId158" xr:uid="{00000000-0004-0000-0000-00009D000000}"/>
    <hyperlink ref="B162" r:id="rId159" xr:uid="{00000000-0004-0000-0000-00009E000000}"/>
    <hyperlink ref="B163" r:id="rId160" xr:uid="{00000000-0004-0000-0000-00009F000000}"/>
    <hyperlink ref="B164" r:id="rId161" xr:uid="{00000000-0004-0000-0000-0000A0000000}"/>
    <hyperlink ref="B165" r:id="rId162" xr:uid="{00000000-0004-0000-0000-0000A1000000}"/>
    <hyperlink ref="B166" r:id="rId163" xr:uid="{00000000-0004-0000-0000-0000A2000000}"/>
    <hyperlink ref="B167" r:id="rId164" xr:uid="{00000000-0004-0000-0000-0000A3000000}"/>
    <hyperlink ref="B168" r:id="rId165" xr:uid="{00000000-0004-0000-0000-0000A4000000}"/>
    <hyperlink ref="B169" r:id="rId166" xr:uid="{00000000-0004-0000-0000-0000A5000000}"/>
    <hyperlink ref="B170" r:id="rId167" xr:uid="{00000000-0004-0000-0000-0000A6000000}"/>
    <hyperlink ref="B171" r:id="rId168" xr:uid="{00000000-0004-0000-0000-0000A7000000}"/>
    <hyperlink ref="B172" r:id="rId169" xr:uid="{00000000-0004-0000-0000-0000A8000000}"/>
    <hyperlink ref="B173" r:id="rId170" xr:uid="{00000000-0004-0000-0000-0000A9000000}"/>
    <hyperlink ref="B174" r:id="rId171" xr:uid="{00000000-0004-0000-0000-0000AA000000}"/>
    <hyperlink ref="B175" r:id="rId172" xr:uid="{00000000-0004-0000-0000-0000AB000000}"/>
    <hyperlink ref="B176" r:id="rId173" xr:uid="{00000000-0004-0000-0000-0000AC000000}"/>
    <hyperlink ref="B177" r:id="rId174" xr:uid="{00000000-0004-0000-0000-0000AD000000}"/>
    <hyperlink ref="B178" r:id="rId175" xr:uid="{00000000-0004-0000-0000-0000AE000000}"/>
    <hyperlink ref="B179" r:id="rId176" xr:uid="{00000000-0004-0000-0000-0000AF000000}"/>
    <hyperlink ref="B180" r:id="rId177" xr:uid="{00000000-0004-0000-0000-0000B0000000}"/>
    <hyperlink ref="B181" r:id="rId178" xr:uid="{00000000-0004-0000-0000-0000B1000000}"/>
    <hyperlink ref="B182" r:id="rId179" xr:uid="{00000000-0004-0000-0000-0000B2000000}"/>
    <hyperlink ref="B183" r:id="rId180" xr:uid="{00000000-0004-0000-0000-0000B3000000}"/>
    <hyperlink ref="B184" r:id="rId181" xr:uid="{00000000-0004-0000-0000-0000B4000000}"/>
    <hyperlink ref="B185" r:id="rId182" xr:uid="{00000000-0004-0000-0000-0000B5000000}"/>
    <hyperlink ref="B186" r:id="rId183" xr:uid="{00000000-0004-0000-0000-0000B6000000}"/>
    <hyperlink ref="B187" r:id="rId184" xr:uid="{00000000-0004-0000-0000-0000B7000000}"/>
    <hyperlink ref="B188" r:id="rId185" xr:uid="{00000000-0004-0000-0000-0000B8000000}"/>
    <hyperlink ref="B189" r:id="rId186" xr:uid="{00000000-0004-0000-0000-0000B9000000}"/>
    <hyperlink ref="B190" r:id="rId187" xr:uid="{00000000-0004-0000-0000-0000BA000000}"/>
    <hyperlink ref="B191" r:id="rId188" xr:uid="{00000000-0004-0000-0000-0000BB000000}"/>
    <hyperlink ref="B192" r:id="rId189" xr:uid="{00000000-0004-0000-0000-0000BC000000}"/>
    <hyperlink ref="B193" r:id="rId190" xr:uid="{00000000-0004-0000-0000-0000BD000000}"/>
    <hyperlink ref="B194" r:id="rId191" xr:uid="{00000000-0004-0000-0000-0000BE000000}"/>
    <hyperlink ref="B195" r:id="rId192" xr:uid="{00000000-0004-0000-0000-0000BF000000}"/>
    <hyperlink ref="B196" r:id="rId193" xr:uid="{00000000-0004-0000-0000-0000C0000000}"/>
    <hyperlink ref="B197" r:id="rId194" xr:uid="{00000000-0004-0000-0000-0000C1000000}"/>
    <hyperlink ref="B198" r:id="rId195" xr:uid="{00000000-0004-0000-0000-0000C2000000}"/>
    <hyperlink ref="B199" r:id="rId196" xr:uid="{00000000-0004-0000-0000-0000C3000000}"/>
    <hyperlink ref="B200" r:id="rId197" xr:uid="{00000000-0004-0000-0000-0000C4000000}"/>
    <hyperlink ref="B201" r:id="rId198" xr:uid="{00000000-0004-0000-0000-0000C5000000}"/>
    <hyperlink ref="B202" r:id="rId199" xr:uid="{00000000-0004-0000-0000-0000C6000000}"/>
    <hyperlink ref="B203" r:id="rId200" xr:uid="{00000000-0004-0000-0000-0000C7000000}"/>
    <hyperlink ref="B204" r:id="rId201" xr:uid="{00000000-0004-0000-0000-0000C8000000}"/>
    <hyperlink ref="B205" r:id="rId202" xr:uid="{00000000-0004-0000-0000-0000C9000000}"/>
    <hyperlink ref="B206" r:id="rId203" xr:uid="{00000000-0004-0000-0000-0000CA000000}"/>
    <hyperlink ref="B207" r:id="rId204" xr:uid="{00000000-0004-0000-0000-0000CB000000}"/>
    <hyperlink ref="B208" r:id="rId205" xr:uid="{00000000-0004-0000-0000-0000CC000000}"/>
    <hyperlink ref="B209" r:id="rId206" xr:uid="{00000000-0004-0000-0000-0000CD000000}"/>
    <hyperlink ref="B210" r:id="rId207" xr:uid="{00000000-0004-0000-0000-0000CE000000}"/>
    <hyperlink ref="B211" r:id="rId208" xr:uid="{00000000-0004-0000-0000-0000CF000000}"/>
    <hyperlink ref="B212" r:id="rId209" xr:uid="{00000000-0004-0000-0000-0000D0000000}"/>
    <hyperlink ref="B213" r:id="rId210" xr:uid="{00000000-0004-0000-0000-0000D1000000}"/>
    <hyperlink ref="B214" r:id="rId211" xr:uid="{00000000-0004-0000-0000-0000D2000000}"/>
    <hyperlink ref="B215" r:id="rId212" xr:uid="{00000000-0004-0000-0000-0000D3000000}"/>
    <hyperlink ref="B216" r:id="rId213" xr:uid="{00000000-0004-0000-0000-0000D4000000}"/>
    <hyperlink ref="B217" r:id="rId214" xr:uid="{00000000-0004-0000-0000-0000D5000000}"/>
    <hyperlink ref="B218" r:id="rId215" xr:uid="{00000000-0004-0000-0000-0000D6000000}"/>
    <hyperlink ref="B219" r:id="rId216" xr:uid="{00000000-0004-0000-0000-0000D7000000}"/>
    <hyperlink ref="B220" r:id="rId217" xr:uid="{00000000-0004-0000-0000-0000D8000000}"/>
    <hyperlink ref="B221" r:id="rId218" xr:uid="{00000000-0004-0000-0000-0000D9000000}"/>
    <hyperlink ref="B222" r:id="rId219" xr:uid="{00000000-0004-0000-0000-0000DA000000}"/>
    <hyperlink ref="B223" r:id="rId220" xr:uid="{00000000-0004-0000-0000-0000DB000000}"/>
    <hyperlink ref="B224" r:id="rId221" xr:uid="{00000000-0004-0000-0000-0000DC000000}"/>
    <hyperlink ref="B225" r:id="rId222" xr:uid="{00000000-0004-0000-0000-0000DD000000}"/>
    <hyperlink ref="B226" r:id="rId223" xr:uid="{00000000-0004-0000-0000-0000DE000000}"/>
    <hyperlink ref="B227" r:id="rId224" xr:uid="{00000000-0004-0000-0000-0000DF000000}"/>
    <hyperlink ref="B228" r:id="rId225" xr:uid="{00000000-0004-0000-0000-0000E0000000}"/>
    <hyperlink ref="B229" r:id="rId226" xr:uid="{00000000-0004-0000-0000-0000E1000000}"/>
    <hyperlink ref="B230" r:id="rId227" xr:uid="{00000000-0004-0000-0000-0000E2000000}"/>
    <hyperlink ref="B231" r:id="rId228" xr:uid="{00000000-0004-0000-0000-0000E3000000}"/>
  </hyperlinks>
  <pageMargins left="0.511811024" right="0.511811024" top="0.78740157499999996" bottom="0.78740157499999996" header="0.31496062000000002" footer="0.31496062000000002"/>
  <legacyDrawing r:id="rId2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Detalhes1</vt:lpstr>
      <vt:lpstr>Planilha1</vt:lpstr>
      <vt:lpstr>Planilha2</vt:lpstr>
      <vt:lpstr>Planilha3</vt:lpstr>
      <vt:lpstr>Planilha5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Foda</cp:lastModifiedBy>
  <dcterms:modified xsi:type="dcterms:W3CDTF">2026-04-22T10:51:03Z</dcterms:modified>
</cp:coreProperties>
</file>