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<sst xmlns="http://schemas.openxmlformats.org/spreadsheetml/2006/main" count="44" uniqueCount="43">
  <si>
    <t>Metro</t>
  </si>
  <si>
    <t>Centímetro</t>
  </si>
  <si>
    <t>Polegadas</t>
  </si>
  <si>
    <t>Centímetros</t>
  </si>
  <si>
    <t>Preço bilhete de cinema</t>
  </si>
  <si>
    <t xml:space="preserve">Número de bilhete comprados </t>
  </si>
  <si>
    <t>Valor total a pagar</t>
  </si>
  <si>
    <t xml:space="preserve">Comprimento do retângulo </t>
  </si>
  <si>
    <t xml:space="preserve">Largura do retângulo </t>
  </si>
  <si>
    <t xml:space="preserve">Perímetro do retângulo </t>
  </si>
  <si>
    <t xml:space="preserve">Área do retângulo </t>
  </si>
  <si>
    <t xml:space="preserve"> Lado do quadrado</t>
  </si>
  <si>
    <t>Perímetro do quadrado</t>
  </si>
  <si>
    <t xml:space="preserve">Área do quadrado </t>
  </si>
  <si>
    <t xml:space="preserve">Data carnaval </t>
  </si>
  <si>
    <t>Data Páscoa</t>
  </si>
  <si>
    <t>Dias faltando</t>
  </si>
  <si>
    <t>Custo sem IVA</t>
  </si>
  <si>
    <t>Taxa de IVA</t>
  </si>
  <si>
    <t>Valor do IVA</t>
  </si>
  <si>
    <t>Custo total</t>
  </si>
  <si>
    <t>Deposito 1/1/2017</t>
  </si>
  <si>
    <t>Taxa de juro</t>
  </si>
  <si>
    <t>Valor de juro</t>
  </si>
  <si>
    <t>Valor do banco em 1/1/2018</t>
  </si>
  <si>
    <t>Salário bruto</t>
  </si>
  <si>
    <t>Taxa de desconto Ssocial</t>
  </si>
  <si>
    <t>Taxa desconto IRS</t>
  </si>
  <si>
    <t>Valor desconto Social</t>
  </si>
  <si>
    <t>Valor desconto IRS</t>
  </si>
  <si>
    <t xml:space="preserve">Salário líquido </t>
  </si>
  <si>
    <t>Consumo por 100km (em litros)</t>
  </si>
  <si>
    <t>Número de quilômetros feitos</t>
  </si>
  <si>
    <t xml:space="preserve">Custo por litro </t>
  </si>
  <si>
    <t>Consumo em litros</t>
  </si>
  <si>
    <t>Valor total gasto</t>
  </si>
  <si>
    <t>Potência do aparelho (watts)</t>
  </si>
  <si>
    <t xml:space="preserve">Horas de trabalho </t>
  </si>
  <si>
    <t>Custo de KWh (killowatt hora)</t>
  </si>
  <si>
    <t>Potência consumida</t>
  </si>
  <si>
    <t>Peso (kg)</t>
  </si>
  <si>
    <t>Altura (m)</t>
  </si>
  <si>
    <t>IMC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</si>
</sst>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&quot;€&quot;"/>
    <numFmt numFmtId="165" formatCode="dd/mmm"/>
    <numFmt numFmtId="166" formatCode="d/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15.25"/>
  </cols>
  <sheetData>
    <row r="2">
      <c r="A2" s="1" t="s">
        <v>0</v>
      </c>
      <c r="B2" s="1">
        <v>1.65</v>
      </c>
    </row>
    <row r="3">
      <c r="A3" s="1" t="s">
        <v>1</v>
      </c>
      <c r="B3" s="2">
        <f>B2*100</f>
        <v>165</v>
      </c>
    </row>
    <row r="5">
      <c r="A5" s="1" t="s">
        <v>2</v>
      </c>
      <c r="B5" s="1">
        <v>55.0</v>
      </c>
    </row>
    <row r="6">
      <c r="A6" s="1" t="s">
        <v>3</v>
      </c>
      <c r="B6" s="2">
        <f>B5*2.54</f>
        <v>139.7</v>
      </c>
    </row>
    <row r="8">
      <c r="A8" s="1" t="s">
        <v>4</v>
      </c>
      <c r="B8" s="3">
        <v>6.0</v>
      </c>
    </row>
    <row r="9">
      <c r="A9" s="1" t="s">
        <v>5</v>
      </c>
      <c r="B9" s="1">
        <v>3.0</v>
      </c>
    </row>
    <row r="10">
      <c r="A10" s="1" t="s">
        <v>6</v>
      </c>
      <c r="B10" s="4">
        <f>B8*B9</f>
        <v>18</v>
      </c>
    </row>
    <row r="12">
      <c r="A12" s="1" t="s">
        <v>7</v>
      </c>
      <c r="B12" s="1">
        <v>8.0</v>
      </c>
    </row>
    <row r="13">
      <c r="A13" s="1" t="s">
        <v>8</v>
      </c>
      <c r="B13" s="1">
        <v>6.0</v>
      </c>
    </row>
    <row r="14">
      <c r="A14" s="1" t="s">
        <v>9</v>
      </c>
      <c r="B14" s="2">
        <f>B12*2+B13*2</f>
        <v>28</v>
      </c>
    </row>
    <row r="15">
      <c r="A15" s="1" t="s">
        <v>10</v>
      </c>
      <c r="B15" s="2">
        <f>B13*B12</f>
        <v>48</v>
      </c>
    </row>
    <row r="16">
      <c r="A16" s="1" t="s">
        <v>11</v>
      </c>
      <c r="B16" s="1">
        <v>8.0</v>
      </c>
    </row>
    <row r="17">
      <c r="A17" s="1" t="s">
        <v>12</v>
      </c>
      <c r="B17" s="2">
        <f>B16*4</f>
        <v>32</v>
      </c>
    </row>
    <row r="18">
      <c r="A18" s="1" t="s">
        <v>13</v>
      </c>
      <c r="B18" s="2">
        <f>B16^2</f>
        <v>64</v>
      </c>
    </row>
    <row r="20">
      <c r="A20" s="1" t="s">
        <v>14</v>
      </c>
      <c r="B20" s="5">
        <v>45720.0</v>
      </c>
    </row>
    <row r="21">
      <c r="A21" s="1" t="s">
        <v>15</v>
      </c>
      <c r="B21" s="6">
        <v>45767.0</v>
      </c>
    </row>
    <row r="22">
      <c r="A22" s="1" t="s">
        <v>16</v>
      </c>
      <c r="B22" s="2">
        <f>B21-B20</f>
        <v>47</v>
      </c>
    </row>
    <row r="24">
      <c r="A24" s="1" t="s">
        <v>17</v>
      </c>
      <c r="B24" s="3">
        <v>150.0</v>
      </c>
    </row>
    <row r="25">
      <c r="A25" s="1" t="s">
        <v>18</v>
      </c>
      <c r="B25" s="7">
        <v>0.23</v>
      </c>
    </row>
    <row r="26">
      <c r="A26" s="1" t="s">
        <v>19</v>
      </c>
      <c r="B26" s="4">
        <f>B24*23%</f>
        <v>34.5</v>
      </c>
    </row>
    <row r="27">
      <c r="A27" s="1" t="s">
        <v>20</v>
      </c>
      <c r="B27" s="4">
        <f>B24+B26</f>
        <v>184.5</v>
      </c>
    </row>
    <row r="29">
      <c r="A29" s="1" t="s">
        <v>21</v>
      </c>
      <c r="B29" s="3">
        <v>2000.0</v>
      </c>
    </row>
    <row r="30">
      <c r="A30" s="1" t="s">
        <v>22</v>
      </c>
      <c r="B30" s="7">
        <v>0.02</v>
      </c>
    </row>
    <row r="31">
      <c r="A31" s="1" t="s">
        <v>23</v>
      </c>
      <c r="B31" s="4">
        <f>B29*2%</f>
        <v>40</v>
      </c>
    </row>
    <row r="32">
      <c r="A32" s="1" t="s">
        <v>24</v>
      </c>
      <c r="B32" s="3">
        <f>B29+B31</f>
        <v>2040</v>
      </c>
    </row>
    <row r="34">
      <c r="A34" s="1" t="s">
        <v>25</v>
      </c>
      <c r="B34" s="1">
        <v>800.0</v>
      </c>
    </row>
    <row r="35">
      <c r="A35" s="1" t="s">
        <v>26</v>
      </c>
      <c r="B35" s="7">
        <v>0.11</v>
      </c>
    </row>
    <row r="36">
      <c r="A36" s="1" t="s">
        <v>27</v>
      </c>
      <c r="B36" s="7">
        <v>0.25</v>
      </c>
    </row>
    <row r="37">
      <c r="A37" s="1" t="s">
        <v>28</v>
      </c>
      <c r="B37" s="2">
        <f>B34*B35</f>
        <v>88</v>
      </c>
    </row>
    <row r="38">
      <c r="A38" s="1" t="s">
        <v>29</v>
      </c>
      <c r="B38" s="2">
        <f>B34*B36</f>
        <v>200</v>
      </c>
    </row>
    <row r="39">
      <c r="A39" s="1" t="s">
        <v>30</v>
      </c>
      <c r="B39" s="2">
        <f>B34-B37-B38</f>
        <v>512</v>
      </c>
    </row>
    <row r="41">
      <c r="A41" s="1" t="s">
        <v>31</v>
      </c>
      <c r="B41" s="1">
        <v>6.0</v>
      </c>
    </row>
    <row r="42">
      <c r="A42" s="1" t="s">
        <v>32</v>
      </c>
      <c r="B42" s="1">
        <v>300.0</v>
      </c>
    </row>
    <row r="43">
      <c r="A43" s="1" t="s">
        <v>33</v>
      </c>
      <c r="B43" s="1">
        <v>1.7</v>
      </c>
    </row>
    <row r="44">
      <c r="A44" s="1" t="s">
        <v>34</v>
      </c>
      <c r="B44" s="2">
        <f>B41/100*B42</f>
        <v>18</v>
      </c>
    </row>
    <row r="45">
      <c r="A45" s="1" t="s">
        <v>35</v>
      </c>
      <c r="B45" s="2">
        <f>B44*B43</f>
        <v>30.6</v>
      </c>
    </row>
    <row r="47">
      <c r="A47" s="1" t="s">
        <v>36</v>
      </c>
      <c r="B47" s="1">
        <v>2000.0</v>
      </c>
    </row>
    <row r="48">
      <c r="A48" s="1" t="s">
        <v>37</v>
      </c>
      <c r="B48" s="1">
        <v>10.0</v>
      </c>
    </row>
    <row r="49">
      <c r="A49" s="1" t="s">
        <v>38</v>
      </c>
      <c r="B49" s="1">
        <v>0.16</v>
      </c>
    </row>
    <row r="50">
      <c r="A50" s="1" t="s">
        <v>39</v>
      </c>
      <c r="B50" s="2">
        <f>B47/1000*B48</f>
        <v>20</v>
      </c>
    </row>
    <row r="51">
      <c r="A51" s="1" t="s">
        <v>20</v>
      </c>
      <c r="B51" s="2">
        <f>B50*B49</f>
        <v>3.2</v>
      </c>
    </row>
    <row r="53">
      <c r="A53" s="1" t="s">
        <v>40</v>
      </c>
      <c r="B53" s="1">
        <v>65.0</v>
      </c>
    </row>
    <row r="54">
      <c r="A54" s="1" t="s">
        <v>41</v>
      </c>
      <c r="B54" s="1">
        <v>1.7</v>
      </c>
    </row>
    <row r="55">
      <c r="A55" s="1" t="s">
        <v>42</v>
      </c>
      <c r="B55" s="2">
        <f>ROUND(B53/B54^2,2)</f>
        <v>22.49</v>
      </c>
    </row>
  </sheetData>
  <drawing r:id="rId1"/>
</worksheet>
</file>